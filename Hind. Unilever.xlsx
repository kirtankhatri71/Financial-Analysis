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2160" windowHeight="6350" tabRatio="724" firstSheet="5" activeTab="7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Data Sheet" sheetId="6" r:id="rId6"/>
    <sheet name="Historical FS" sheetId="7" r:id="rId7"/>
    <sheet name="Ratio Analysis" sheetId="10" r:id="rId8"/>
    <sheet name="DCF Modelling" sheetId="12" r:id="rId9"/>
    <sheet name="Comp Analysis" sheetId="17" r:id="rId10"/>
    <sheet name="Common Size Statement" sheetId="18" r:id="rId11"/>
    <sheet name="Trend Analysis" sheetId="20" r:id="rId12"/>
    <sheet name="Comparables Data" sheetId="19" r:id="rId13"/>
    <sheet name="Manual Data" sheetId="8" r:id="rId14"/>
    <sheet name="Data Sheet2" sheetId="11" r:id="rId15"/>
  </sheets>
  <definedNames>
    <definedName name="_xlnm._FilterDatabase" localSheetId="14" hidden="1">'Data Sheet2'!$A$2:$A$5</definedName>
    <definedName name="UPDATE">'Data Sheet'!$E$1</definedName>
  </definedName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5" i="7" l="1"/>
  <c r="B5" i="20" l="1"/>
  <c r="B6" i="20"/>
  <c r="B7" i="20"/>
  <c r="B8" i="20"/>
  <c r="B9" i="20"/>
  <c r="B10" i="20"/>
  <c r="B11" i="20"/>
  <c r="B12" i="20"/>
  <c r="B13" i="20"/>
  <c r="D9" i="20"/>
  <c r="D10" i="20"/>
  <c r="D11" i="20"/>
  <c r="D12" i="20"/>
  <c r="D17" i="20"/>
  <c r="C18" i="20"/>
  <c r="D18" i="20" s="1"/>
  <c r="B18" i="20"/>
  <c r="C14" i="20"/>
  <c r="D14" i="20" s="1"/>
  <c r="C17" i="20"/>
  <c r="C16" i="20"/>
  <c r="D16" i="20" s="1"/>
  <c r="C15" i="20"/>
  <c r="D15" i="20" s="1"/>
  <c r="C7" i="20"/>
  <c r="D7" i="20" s="1"/>
  <c r="C13" i="20"/>
  <c r="D13" i="20" s="1"/>
  <c r="C12" i="20"/>
  <c r="C11" i="20"/>
  <c r="C10" i="20"/>
  <c r="C9" i="20"/>
  <c r="C8" i="20"/>
  <c r="D8" i="20" s="1"/>
  <c r="C6" i="20"/>
  <c r="D6" i="20" s="1"/>
  <c r="C5" i="20"/>
  <c r="C4" i="20"/>
  <c r="D5" i="20" s="1"/>
  <c r="B15" i="20"/>
  <c r="B17" i="20"/>
  <c r="B16" i="20"/>
  <c r="B14" i="20"/>
  <c r="B4" i="20"/>
  <c r="B2" i="20"/>
  <c r="O4" i="18"/>
  <c r="AQ38" i="18"/>
  <c r="AP38" i="18"/>
  <c r="AO38" i="18"/>
  <c r="AN38" i="18"/>
  <c r="AM38" i="18"/>
  <c r="AL38" i="18"/>
  <c r="AK38" i="18"/>
  <c r="AQ36" i="18"/>
  <c r="AP36" i="18"/>
  <c r="AO36" i="18"/>
  <c r="AN36" i="18"/>
  <c r="AM36" i="18"/>
  <c r="AL36" i="18"/>
  <c r="AK36" i="18"/>
  <c r="AQ35" i="18"/>
  <c r="AP35" i="18"/>
  <c r="AO35" i="18"/>
  <c r="AN35" i="18"/>
  <c r="AM35" i="18"/>
  <c r="AL35" i="18"/>
  <c r="AK35" i="18"/>
  <c r="AQ34" i="18"/>
  <c r="AP34" i="18"/>
  <c r="AO34" i="18"/>
  <c r="AN34" i="18"/>
  <c r="AM34" i="18"/>
  <c r="AL34" i="18"/>
  <c r="AK34" i="18"/>
  <c r="AQ33" i="18"/>
  <c r="AP33" i="18"/>
  <c r="AO33" i="18"/>
  <c r="AN33" i="18"/>
  <c r="AM33" i="18"/>
  <c r="AL33" i="18"/>
  <c r="AK33" i="18"/>
  <c r="AL32" i="18"/>
  <c r="AM32" i="18"/>
  <c r="AN32" i="18"/>
  <c r="AO32" i="18"/>
  <c r="AP32" i="18"/>
  <c r="AQ32" i="18"/>
  <c r="AK32" i="18"/>
  <c r="AQ31" i="18"/>
  <c r="AP31" i="18"/>
  <c r="AO31" i="18"/>
  <c r="AN31" i="18"/>
  <c r="AM31" i="18"/>
  <c r="AL31" i="18"/>
  <c r="AK31" i="18"/>
  <c r="AQ30" i="18"/>
  <c r="AP30" i="18"/>
  <c r="AO30" i="18"/>
  <c r="AN30" i="18"/>
  <c r="AM30" i="18"/>
  <c r="AL30" i="18"/>
  <c r="AK30" i="18"/>
  <c r="AQ28" i="18"/>
  <c r="AP28" i="18"/>
  <c r="AO28" i="18"/>
  <c r="AN28" i="18"/>
  <c r="AM28" i="18"/>
  <c r="AL28" i="18"/>
  <c r="AK28" i="18"/>
  <c r="AQ26" i="18"/>
  <c r="AP26" i="18"/>
  <c r="AO26" i="18"/>
  <c r="AN26" i="18"/>
  <c r="AM26" i="18"/>
  <c r="AL26" i="18"/>
  <c r="AK26" i="18"/>
  <c r="AQ25" i="18"/>
  <c r="AP25" i="18"/>
  <c r="AO25" i="18"/>
  <c r="AN25" i="18"/>
  <c r="AM25" i="18"/>
  <c r="AL25" i="18"/>
  <c r="AK25" i="18"/>
  <c r="AQ24" i="18"/>
  <c r="AP24" i="18"/>
  <c r="AO24" i="18"/>
  <c r="AN24" i="18"/>
  <c r="AM24" i="18"/>
  <c r="AL24" i="18"/>
  <c r="AK24" i="18"/>
  <c r="AQ23" i="18"/>
  <c r="AP23" i="18"/>
  <c r="AO23" i="18"/>
  <c r="AN23" i="18"/>
  <c r="AM23" i="18"/>
  <c r="AL23" i="18"/>
  <c r="AK23" i="18"/>
  <c r="AJ30" i="18"/>
  <c r="AJ31" i="18"/>
  <c r="AJ32" i="18"/>
  <c r="AJ33" i="18"/>
  <c r="AJ34" i="18"/>
  <c r="AJ35" i="18"/>
  <c r="AJ36" i="18"/>
  <c r="AJ24" i="18"/>
  <c r="AJ25" i="18"/>
  <c r="AJ26" i="18"/>
  <c r="AJ23" i="18"/>
  <c r="AJ21" i="18"/>
  <c r="AQ17" i="18"/>
  <c r="AP17" i="18"/>
  <c r="AO17" i="18"/>
  <c r="AN17" i="18"/>
  <c r="AM17" i="18"/>
  <c r="AL17" i="18"/>
  <c r="AK17" i="18"/>
  <c r="AQ16" i="18"/>
  <c r="AP16" i="18"/>
  <c r="AO16" i="18"/>
  <c r="AN16" i="18"/>
  <c r="AM16" i="18"/>
  <c r="AL16" i="18"/>
  <c r="AK16" i="18"/>
  <c r="AQ15" i="18"/>
  <c r="AP15" i="18"/>
  <c r="AO15" i="18"/>
  <c r="AN15" i="18"/>
  <c r="AM15" i="18"/>
  <c r="AL15" i="18"/>
  <c r="AK15" i="18"/>
  <c r="AQ14" i="18"/>
  <c r="AP14" i="18"/>
  <c r="AO14" i="18"/>
  <c r="AN14" i="18"/>
  <c r="AM14" i="18"/>
  <c r="AL14" i="18"/>
  <c r="AK14" i="18"/>
  <c r="AQ13" i="18"/>
  <c r="AP13" i="18"/>
  <c r="AO13" i="18"/>
  <c r="AN13" i="18"/>
  <c r="AM13" i="18"/>
  <c r="AL13" i="18"/>
  <c r="AK13" i="18"/>
  <c r="AQ12" i="18"/>
  <c r="AP12" i="18"/>
  <c r="AO12" i="18"/>
  <c r="AN12" i="18"/>
  <c r="AM12" i="18"/>
  <c r="AL12" i="18"/>
  <c r="AK12" i="18"/>
  <c r="AQ11" i="18"/>
  <c r="AP11" i="18"/>
  <c r="AO11" i="18"/>
  <c r="AN11" i="18"/>
  <c r="AM11" i="18"/>
  <c r="AL11" i="18"/>
  <c r="AK11" i="18"/>
  <c r="AQ10" i="18"/>
  <c r="AP10" i="18"/>
  <c r="AO10" i="18"/>
  <c r="AN10" i="18"/>
  <c r="AM10" i="18"/>
  <c r="AL10" i="18"/>
  <c r="AK10" i="18"/>
  <c r="AQ9" i="18"/>
  <c r="AP9" i="18"/>
  <c r="AO9" i="18"/>
  <c r="AN9" i="18"/>
  <c r="AM9" i="18"/>
  <c r="AL9" i="18"/>
  <c r="AK9" i="18"/>
  <c r="AQ8" i="18"/>
  <c r="AP8" i="18"/>
  <c r="AO8" i="18"/>
  <c r="AN8" i="18"/>
  <c r="AM8" i="18"/>
  <c r="AL8" i="18"/>
  <c r="AK8" i="18"/>
  <c r="AQ7" i="18"/>
  <c r="AP7" i="18"/>
  <c r="AO7" i="18"/>
  <c r="AN7" i="18"/>
  <c r="AM7" i="18"/>
  <c r="AL7" i="18"/>
  <c r="AK7" i="18"/>
  <c r="AQ6" i="18"/>
  <c r="AP6" i="18"/>
  <c r="AO6" i="18"/>
  <c r="AN6" i="18"/>
  <c r="AM6" i="18"/>
  <c r="AL6" i="18"/>
  <c r="AK6" i="18"/>
  <c r="AQ5" i="18"/>
  <c r="AP5" i="18"/>
  <c r="AO5" i="18"/>
  <c r="AN5" i="18"/>
  <c r="AM5" i="18"/>
  <c r="AL5" i="18"/>
  <c r="AK5" i="18"/>
  <c r="AQ4" i="18"/>
  <c r="AP4" i="18"/>
  <c r="AO4" i="18"/>
  <c r="AN4" i="18"/>
  <c r="AM4" i="18"/>
  <c r="AL4" i="18"/>
  <c r="AK4" i="18"/>
  <c r="AJ5" i="18"/>
  <c r="AJ6" i="18"/>
  <c r="AJ7" i="18"/>
  <c r="AJ8" i="18"/>
  <c r="AJ9" i="18"/>
  <c r="AJ10" i="18"/>
  <c r="AJ11" i="18"/>
  <c r="AJ12" i="18"/>
  <c r="AJ13" i="18"/>
  <c r="AJ14" i="18"/>
  <c r="AJ15" i="18"/>
  <c r="AJ16" i="18"/>
  <c r="AJ17" i="18"/>
  <c r="AJ4" i="18"/>
  <c r="AJ2" i="18"/>
  <c r="AH38" i="18"/>
  <c r="AG38" i="18"/>
  <c r="AF38" i="18"/>
  <c r="AE38" i="18"/>
  <c r="AD38" i="18"/>
  <c r="AC38" i="18"/>
  <c r="AB38" i="18"/>
  <c r="AA38" i="18"/>
  <c r="AH36" i="18"/>
  <c r="AG36" i="18"/>
  <c r="AF36" i="18"/>
  <c r="AE36" i="18"/>
  <c r="AD36" i="18"/>
  <c r="AC36" i="18"/>
  <c r="AB36" i="18"/>
  <c r="AA36" i="18"/>
  <c r="AH35" i="18"/>
  <c r="AG35" i="18"/>
  <c r="AF35" i="18"/>
  <c r="AE35" i="18"/>
  <c r="AD35" i="18"/>
  <c r="AC35" i="18"/>
  <c r="AB35" i="18"/>
  <c r="AA35" i="18"/>
  <c r="AH34" i="18"/>
  <c r="AG34" i="18"/>
  <c r="AF34" i="18"/>
  <c r="AE34" i="18"/>
  <c r="AD34" i="18"/>
  <c r="AC34" i="18"/>
  <c r="AB34" i="18"/>
  <c r="AA34" i="18"/>
  <c r="AH33" i="18"/>
  <c r="AG33" i="18"/>
  <c r="AF33" i="18"/>
  <c r="AE33" i="18"/>
  <c r="AD33" i="18"/>
  <c r="AC33" i="18"/>
  <c r="AB33" i="18"/>
  <c r="AA33" i="18"/>
  <c r="AH32" i="18"/>
  <c r="AG32" i="18"/>
  <c r="AF32" i="18"/>
  <c r="AE32" i="18"/>
  <c r="AD32" i="18"/>
  <c r="AC32" i="18"/>
  <c r="AB32" i="18"/>
  <c r="AA32" i="18"/>
  <c r="AH31" i="18"/>
  <c r="AG31" i="18"/>
  <c r="AF31" i="18"/>
  <c r="AE31" i="18"/>
  <c r="AD31" i="18"/>
  <c r="AC31" i="18"/>
  <c r="AB31" i="18"/>
  <c r="AA31" i="18"/>
  <c r="AH30" i="18"/>
  <c r="AG30" i="18"/>
  <c r="AF30" i="18"/>
  <c r="AE30" i="18"/>
  <c r="AD30" i="18"/>
  <c r="AC30" i="18"/>
  <c r="AB30" i="18"/>
  <c r="AA30" i="18"/>
  <c r="Z35" i="18"/>
  <c r="Z36" i="18"/>
  <c r="Z34" i="18"/>
  <c r="Z31" i="18"/>
  <c r="Z32" i="18"/>
  <c r="Z33" i="18"/>
  <c r="Z30" i="18"/>
  <c r="AH28" i="18"/>
  <c r="AG28" i="18"/>
  <c r="AF28" i="18"/>
  <c r="AE28" i="18"/>
  <c r="AD28" i="18"/>
  <c r="AC28" i="18"/>
  <c r="AB28" i="18"/>
  <c r="AA28" i="18"/>
  <c r="AH26" i="18"/>
  <c r="AG26" i="18"/>
  <c r="AF26" i="18"/>
  <c r="AE26" i="18"/>
  <c r="AD26" i="18"/>
  <c r="AC26" i="18"/>
  <c r="AB26" i="18"/>
  <c r="AA26" i="18"/>
  <c r="AH25" i="18"/>
  <c r="AG25" i="18"/>
  <c r="AF25" i="18"/>
  <c r="AE25" i="18"/>
  <c r="AD25" i="18"/>
  <c r="AC25" i="18"/>
  <c r="AB25" i="18"/>
  <c r="AA25" i="18"/>
  <c r="AH24" i="18"/>
  <c r="AG24" i="18"/>
  <c r="AF24" i="18"/>
  <c r="AE24" i="18"/>
  <c r="AD24" i="18"/>
  <c r="AC24" i="18"/>
  <c r="AB24" i="18"/>
  <c r="AA24" i="18"/>
  <c r="AH23" i="18"/>
  <c r="AG23" i="18"/>
  <c r="AF23" i="18"/>
  <c r="AE23" i="18"/>
  <c r="AD23" i="18"/>
  <c r="AC23" i="18"/>
  <c r="AB23" i="18"/>
  <c r="AA23" i="18"/>
  <c r="Z24" i="18"/>
  <c r="Z25" i="18"/>
  <c r="Z26" i="18"/>
  <c r="Z23" i="18"/>
  <c r="Z21" i="18"/>
  <c r="AH17" i="18" l="1"/>
  <c r="AG17" i="18"/>
  <c r="AF17" i="18"/>
  <c r="AE17" i="18"/>
  <c r="AD17" i="18"/>
  <c r="AC17" i="18"/>
  <c r="AB17" i="18"/>
  <c r="AA17" i="18"/>
  <c r="AH16" i="18"/>
  <c r="AG16" i="18"/>
  <c r="AF16" i="18"/>
  <c r="AE16" i="18"/>
  <c r="AD16" i="18"/>
  <c r="AC16" i="18"/>
  <c r="AB16" i="18"/>
  <c r="AA16" i="18"/>
  <c r="AH15" i="18"/>
  <c r="AG15" i="18"/>
  <c r="AF15" i="18"/>
  <c r="AE15" i="18"/>
  <c r="AD15" i="18"/>
  <c r="AC15" i="18"/>
  <c r="AB15" i="18"/>
  <c r="AA15" i="18"/>
  <c r="AH14" i="18"/>
  <c r="AG14" i="18"/>
  <c r="AF14" i="18"/>
  <c r="AE14" i="18"/>
  <c r="AD14" i="18"/>
  <c r="AC14" i="18"/>
  <c r="AB14" i="18"/>
  <c r="AA14" i="18"/>
  <c r="AH13" i="18"/>
  <c r="AG13" i="18"/>
  <c r="AF13" i="18"/>
  <c r="AE13" i="18"/>
  <c r="AD13" i="18"/>
  <c r="AC13" i="18"/>
  <c r="AB13" i="18"/>
  <c r="AA13" i="18"/>
  <c r="AH12" i="18"/>
  <c r="AG12" i="18"/>
  <c r="AF12" i="18"/>
  <c r="AE12" i="18"/>
  <c r="AD12" i="18"/>
  <c r="AC12" i="18"/>
  <c r="AB12" i="18"/>
  <c r="AA12" i="18"/>
  <c r="AH11" i="18"/>
  <c r="AG11" i="18"/>
  <c r="AF11" i="18"/>
  <c r="AE11" i="18"/>
  <c r="AD11" i="18"/>
  <c r="AC11" i="18"/>
  <c r="AB11" i="18"/>
  <c r="AA11" i="18"/>
  <c r="AH10" i="18"/>
  <c r="AG10" i="18"/>
  <c r="AF10" i="18"/>
  <c r="AE10" i="18"/>
  <c r="AD10" i="18"/>
  <c r="AC10" i="18"/>
  <c r="AB10" i="18"/>
  <c r="AA10" i="18"/>
  <c r="AH9" i="18"/>
  <c r="AG9" i="18"/>
  <c r="AF9" i="18"/>
  <c r="AE9" i="18"/>
  <c r="AD9" i="18"/>
  <c r="AC9" i="18"/>
  <c r="AB9" i="18"/>
  <c r="AA9" i="18"/>
  <c r="AH8" i="18"/>
  <c r="AG8" i="18"/>
  <c r="AF8" i="18"/>
  <c r="AE8" i="18"/>
  <c r="AD8" i="18"/>
  <c r="AC8" i="18"/>
  <c r="AB8" i="18"/>
  <c r="AA8" i="18"/>
  <c r="AH7" i="18"/>
  <c r="AG7" i="18"/>
  <c r="AF7" i="18"/>
  <c r="AE7" i="18"/>
  <c r="AD7" i="18"/>
  <c r="AC7" i="18"/>
  <c r="AB7" i="18"/>
  <c r="AA7" i="18"/>
  <c r="AH6" i="18"/>
  <c r="AG6" i="18"/>
  <c r="AF6" i="18"/>
  <c r="AE6" i="18"/>
  <c r="AD6" i="18"/>
  <c r="AC6" i="18"/>
  <c r="AB6" i="18"/>
  <c r="AA6" i="18"/>
  <c r="AH5" i="18"/>
  <c r="AG5" i="18"/>
  <c r="AF5" i="18"/>
  <c r="AE5" i="18"/>
  <c r="AD5" i="18"/>
  <c r="AC5" i="18"/>
  <c r="AB5" i="18"/>
  <c r="AA5" i="18"/>
  <c r="AH4" i="18"/>
  <c r="AG4" i="18"/>
  <c r="AF4" i="18"/>
  <c r="AE4" i="18"/>
  <c r="AD4" i="18"/>
  <c r="AC4" i="18"/>
  <c r="AB4" i="18"/>
  <c r="AA4" i="18"/>
  <c r="Z5" i="18"/>
  <c r="Z6" i="18"/>
  <c r="Z7" i="18"/>
  <c r="Z8" i="18"/>
  <c r="Z9" i="18"/>
  <c r="Z10" i="18"/>
  <c r="Z11" i="18"/>
  <c r="Z12" i="18"/>
  <c r="Z13" i="18"/>
  <c r="Z14" i="18"/>
  <c r="Z15" i="18"/>
  <c r="Z16" i="18"/>
  <c r="Z17" i="18"/>
  <c r="Z4" i="18"/>
  <c r="Z2" i="18"/>
  <c r="P38" i="18"/>
  <c r="Q38" i="18"/>
  <c r="R38" i="18"/>
  <c r="S38" i="18"/>
  <c r="T38" i="18"/>
  <c r="U38" i="18"/>
  <c r="V38" i="18"/>
  <c r="W38" i="18"/>
  <c r="X38" i="18"/>
  <c r="O38" i="18"/>
  <c r="X36" i="18"/>
  <c r="W36" i="18"/>
  <c r="V36" i="18"/>
  <c r="U36" i="18"/>
  <c r="T36" i="18"/>
  <c r="S36" i="18"/>
  <c r="R36" i="18"/>
  <c r="Q36" i="18"/>
  <c r="P36" i="18"/>
  <c r="O36" i="18"/>
  <c r="X35" i="18"/>
  <c r="W35" i="18"/>
  <c r="V35" i="18"/>
  <c r="U35" i="18"/>
  <c r="T35" i="18"/>
  <c r="S35" i="18"/>
  <c r="R35" i="18"/>
  <c r="Q35" i="18"/>
  <c r="P35" i="18"/>
  <c r="O35" i="18"/>
  <c r="X34" i="18"/>
  <c r="W34" i="18"/>
  <c r="V34" i="18"/>
  <c r="U34" i="18"/>
  <c r="T34" i="18"/>
  <c r="S34" i="18"/>
  <c r="R34" i="18"/>
  <c r="Q34" i="18"/>
  <c r="P34" i="18"/>
  <c r="O34" i="18"/>
  <c r="N35" i="18"/>
  <c r="N36" i="18"/>
  <c r="N34" i="18"/>
  <c r="P33" i="18"/>
  <c r="Q33" i="18"/>
  <c r="R33" i="18"/>
  <c r="S33" i="18"/>
  <c r="T33" i="18"/>
  <c r="U33" i="18"/>
  <c r="V33" i="18"/>
  <c r="W33" i="18"/>
  <c r="X33" i="18"/>
  <c r="O33" i="18"/>
  <c r="X32" i="18"/>
  <c r="W32" i="18"/>
  <c r="V32" i="18"/>
  <c r="U32" i="18"/>
  <c r="T32" i="18"/>
  <c r="S32" i="18"/>
  <c r="R32" i="18"/>
  <c r="Q32" i="18"/>
  <c r="P32" i="18"/>
  <c r="O32" i="18"/>
  <c r="X31" i="18"/>
  <c r="W31" i="18"/>
  <c r="V31" i="18"/>
  <c r="U31" i="18"/>
  <c r="T31" i="18"/>
  <c r="S31" i="18"/>
  <c r="R31" i="18"/>
  <c r="Q31" i="18"/>
  <c r="P31" i="18"/>
  <c r="O31" i="18"/>
  <c r="X30" i="18"/>
  <c r="W30" i="18"/>
  <c r="V30" i="18"/>
  <c r="U30" i="18"/>
  <c r="T30" i="18"/>
  <c r="S30" i="18"/>
  <c r="R30" i="18"/>
  <c r="Q30" i="18"/>
  <c r="P30" i="18"/>
  <c r="O30" i="18"/>
  <c r="N31" i="18"/>
  <c r="N32" i="18"/>
  <c r="N33" i="18"/>
  <c r="N30" i="18"/>
  <c r="X28" i="18"/>
  <c r="W28" i="18"/>
  <c r="V28" i="18"/>
  <c r="U28" i="18"/>
  <c r="T28" i="18"/>
  <c r="S28" i="18"/>
  <c r="R28" i="18"/>
  <c r="Q28" i="18"/>
  <c r="P28" i="18"/>
  <c r="O28" i="18"/>
  <c r="X26" i="18"/>
  <c r="W26" i="18"/>
  <c r="V26" i="18"/>
  <c r="U26" i="18"/>
  <c r="T26" i="18"/>
  <c r="S26" i="18"/>
  <c r="R26" i="18"/>
  <c r="Q26" i="18"/>
  <c r="P26" i="18"/>
  <c r="O26" i="18"/>
  <c r="X25" i="18"/>
  <c r="W25" i="18"/>
  <c r="V25" i="18"/>
  <c r="U25" i="18"/>
  <c r="T25" i="18"/>
  <c r="S25" i="18"/>
  <c r="R25" i="18"/>
  <c r="Q25" i="18"/>
  <c r="P25" i="18"/>
  <c r="O25" i="18"/>
  <c r="X24" i="18"/>
  <c r="W24" i="18"/>
  <c r="V24" i="18"/>
  <c r="U24" i="18"/>
  <c r="T24" i="18"/>
  <c r="S24" i="18"/>
  <c r="R24" i="18"/>
  <c r="Q24" i="18"/>
  <c r="P24" i="18"/>
  <c r="O24" i="18"/>
  <c r="X23" i="18"/>
  <c r="W23" i="18"/>
  <c r="V23" i="18"/>
  <c r="U23" i="18"/>
  <c r="T23" i="18"/>
  <c r="S23" i="18"/>
  <c r="R23" i="18"/>
  <c r="Q23" i="18"/>
  <c r="P23" i="18"/>
  <c r="O23" i="18"/>
  <c r="N24" i="18"/>
  <c r="N25" i="18"/>
  <c r="N26" i="18"/>
  <c r="N23" i="18"/>
  <c r="N21" i="18"/>
  <c r="X18" i="18"/>
  <c r="W18" i="18"/>
  <c r="V18" i="18"/>
  <c r="U18" i="18"/>
  <c r="T18" i="18"/>
  <c r="S18" i="18"/>
  <c r="R18" i="18"/>
  <c r="Q18" i="18"/>
  <c r="P18" i="18"/>
  <c r="O18" i="18"/>
  <c r="X17" i="18"/>
  <c r="W17" i="18"/>
  <c r="V17" i="18"/>
  <c r="U17" i="18"/>
  <c r="T17" i="18"/>
  <c r="S17" i="18"/>
  <c r="R17" i="18"/>
  <c r="Q17" i="18"/>
  <c r="P17" i="18"/>
  <c r="O17" i="18"/>
  <c r="X16" i="18"/>
  <c r="W16" i="18"/>
  <c r="V16" i="18"/>
  <c r="U16" i="18"/>
  <c r="T16" i="18"/>
  <c r="S16" i="18"/>
  <c r="R16" i="18"/>
  <c r="Q16" i="18"/>
  <c r="P16" i="18"/>
  <c r="O16" i="18"/>
  <c r="X15" i="18"/>
  <c r="W15" i="18"/>
  <c r="V15" i="18"/>
  <c r="U15" i="18"/>
  <c r="T15" i="18"/>
  <c r="S15" i="18"/>
  <c r="R15" i="18"/>
  <c r="Q15" i="18"/>
  <c r="P15" i="18"/>
  <c r="O15" i="18"/>
  <c r="X14" i="18"/>
  <c r="W14" i="18"/>
  <c r="V14" i="18"/>
  <c r="U14" i="18"/>
  <c r="T14" i="18"/>
  <c r="S14" i="18"/>
  <c r="R14" i="18"/>
  <c r="Q14" i="18"/>
  <c r="P14" i="18"/>
  <c r="O14" i="18"/>
  <c r="X13" i="18"/>
  <c r="W13" i="18"/>
  <c r="V13" i="18"/>
  <c r="U13" i="18"/>
  <c r="T13" i="18"/>
  <c r="S13" i="18"/>
  <c r="R13" i="18"/>
  <c r="Q13" i="18"/>
  <c r="P13" i="18"/>
  <c r="O13" i="18"/>
  <c r="X12" i="18"/>
  <c r="W12" i="18"/>
  <c r="V12" i="18"/>
  <c r="U12" i="18"/>
  <c r="T12" i="18"/>
  <c r="S12" i="18"/>
  <c r="R12" i="18"/>
  <c r="Q12" i="18"/>
  <c r="P12" i="18"/>
  <c r="O12" i="18"/>
  <c r="X11" i="18"/>
  <c r="W11" i="18"/>
  <c r="V11" i="18"/>
  <c r="U11" i="18"/>
  <c r="T11" i="18"/>
  <c r="S11" i="18"/>
  <c r="R11" i="18"/>
  <c r="Q11" i="18"/>
  <c r="P11" i="18"/>
  <c r="O11" i="18"/>
  <c r="X10" i="18"/>
  <c r="W10" i="18"/>
  <c r="V10" i="18"/>
  <c r="U10" i="18"/>
  <c r="T10" i="18"/>
  <c r="S10" i="18"/>
  <c r="R10" i="18"/>
  <c r="Q10" i="18"/>
  <c r="P10" i="18"/>
  <c r="O10" i="18"/>
  <c r="X9" i="18"/>
  <c r="W9" i="18"/>
  <c r="V9" i="18"/>
  <c r="U9" i="18"/>
  <c r="T9" i="18"/>
  <c r="S9" i="18"/>
  <c r="R9" i="18"/>
  <c r="Q9" i="18"/>
  <c r="P9" i="18"/>
  <c r="O9" i="18"/>
  <c r="X8" i="18"/>
  <c r="W8" i="18"/>
  <c r="V8" i="18"/>
  <c r="U8" i="18"/>
  <c r="T8" i="18"/>
  <c r="S8" i="18"/>
  <c r="R8" i="18"/>
  <c r="Q8" i="18"/>
  <c r="P8" i="18"/>
  <c r="O8" i="18"/>
  <c r="X7" i="18"/>
  <c r="W7" i="18"/>
  <c r="V7" i="18"/>
  <c r="U7" i="18"/>
  <c r="T7" i="18"/>
  <c r="S7" i="18"/>
  <c r="R7" i="18"/>
  <c r="Q7" i="18"/>
  <c r="P7" i="18"/>
  <c r="O7" i="18"/>
  <c r="X6" i="18"/>
  <c r="W6" i="18"/>
  <c r="V6" i="18"/>
  <c r="U6" i="18"/>
  <c r="T6" i="18"/>
  <c r="S6" i="18"/>
  <c r="R6" i="18"/>
  <c r="Q6" i="18"/>
  <c r="P6" i="18"/>
  <c r="O6" i="18"/>
  <c r="X5" i="18"/>
  <c r="W5" i="18"/>
  <c r="V5" i="18"/>
  <c r="U5" i="18"/>
  <c r="T5" i="18"/>
  <c r="S5" i="18"/>
  <c r="R5" i="18"/>
  <c r="Q5" i="18"/>
  <c r="P5" i="18"/>
  <c r="O5" i="18"/>
  <c r="X4" i="18"/>
  <c r="W4" i="18"/>
  <c r="V4" i="18"/>
  <c r="U4" i="18"/>
  <c r="T4" i="18"/>
  <c r="S4" i="18"/>
  <c r="R4" i="18"/>
  <c r="Q4" i="18"/>
  <c r="P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4" i="18"/>
  <c r="N2" i="18"/>
  <c r="AD35" i="19"/>
  <c r="AE35" i="19"/>
  <c r="AF35" i="19"/>
  <c r="AG35" i="19"/>
  <c r="AH35" i="19"/>
  <c r="AI35" i="19"/>
  <c r="AC35" i="19"/>
  <c r="Q35" i="19" l="1"/>
  <c r="R35" i="19"/>
  <c r="S35" i="19"/>
  <c r="T35" i="19"/>
  <c r="U35" i="19"/>
  <c r="V35" i="19"/>
  <c r="W35" i="19"/>
  <c r="P35" i="19"/>
  <c r="C35" i="19" l="1"/>
  <c r="D35" i="19"/>
  <c r="F35" i="19"/>
  <c r="K35" i="19"/>
  <c r="B35" i="19"/>
  <c r="E35" i="19"/>
  <c r="G35" i="19"/>
  <c r="H35" i="19"/>
  <c r="I35" i="19"/>
  <c r="J35" i="19"/>
  <c r="D38" i="18" l="1"/>
  <c r="E38" i="18"/>
  <c r="F38" i="18"/>
  <c r="G38" i="18"/>
  <c r="H38" i="18"/>
  <c r="I38" i="18"/>
  <c r="J38" i="18"/>
  <c r="K38" i="18"/>
  <c r="L38" i="18"/>
  <c r="C38" i="18"/>
  <c r="D34" i="18"/>
  <c r="E34" i="18"/>
  <c r="F34" i="18"/>
  <c r="G34" i="18"/>
  <c r="H34" i="18"/>
  <c r="I34" i="18"/>
  <c r="J34" i="18"/>
  <c r="K34" i="18"/>
  <c r="L34" i="18"/>
  <c r="D35" i="18"/>
  <c r="E35" i="18"/>
  <c r="F35" i="18"/>
  <c r="G35" i="18"/>
  <c r="H35" i="18"/>
  <c r="I35" i="18"/>
  <c r="J35" i="18"/>
  <c r="K35" i="18"/>
  <c r="L35" i="18"/>
  <c r="D36" i="18"/>
  <c r="E36" i="18"/>
  <c r="F36" i="18"/>
  <c r="G36" i="18"/>
  <c r="H36" i="18"/>
  <c r="I36" i="18"/>
  <c r="J36" i="18"/>
  <c r="K36" i="18"/>
  <c r="L36" i="18"/>
  <c r="C35" i="18"/>
  <c r="C36" i="18"/>
  <c r="C34" i="18"/>
  <c r="D33" i="18"/>
  <c r="E33" i="18"/>
  <c r="F33" i="18"/>
  <c r="G33" i="18"/>
  <c r="H33" i="18"/>
  <c r="I33" i="18"/>
  <c r="J33" i="18"/>
  <c r="K33" i="18"/>
  <c r="L33" i="18"/>
  <c r="C33" i="18"/>
  <c r="C74" i="6"/>
  <c r="D74" i="6"/>
  <c r="E74" i="6"/>
  <c r="F74" i="6"/>
  <c r="G74" i="6"/>
  <c r="H74" i="6"/>
  <c r="I74" i="6"/>
  <c r="J74" i="6"/>
  <c r="K74" i="6"/>
  <c r="B74" i="6"/>
  <c r="E30" i="18"/>
  <c r="F30" i="18"/>
  <c r="G30" i="18"/>
  <c r="H30" i="18"/>
  <c r="I30" i="18"/>
  <c r="J30" i="18"/>
  <c r="K30" i="18"/>
  <c r="L30" i="18"/>
  <c r="E31" i="18"/>
  <c r="F31" i="18"/>
  <c r="G31" i="18"/>
  <c r="H31" i="18"/>
  <c r="I31" i="18"/>
  <c r="J31" i="18"/>
  <c r="K31" i="18"/>
  <c r="L31" i="18"/>
  <c r="E32" i="18"/>
  <c r="F32" i="18"/>
  <c r="G32" i="18"/>
  <c r="H32" i="18"/>
  <c r="I32" i="18"/>
  <c r="J32" i="18"/>
  <c r="K32" i="18"/>
  <c r="L32" i="18"/>
  <c r="D30" i="18"/>
  <c r="D31" i="18"/>
  <c r="D32" i="18"/>
  <c r="C31" i="18"/>
  <c r="C32" i="18"/>
  <c r="C30" i="18"/>
  <c r="E23" i="18"/>
  <c r="F23" i="18"/>
  <c r="G23" i="18"/>
  <c r="H23" i="18"/>
  <c r="I23" i="18"/>
  <c r="J23" i="18"/>
  <c r="K23" i="18"/>
  <c r="L23" i="18"/>
  <c r="E24" i="18"/>
  <c r="F24" i="18"/>
  <c r="G24" i="18"/>
  <c r="H24" i="18"/>
  <c r="I24" i="18"/>
  <c r="J24" i="18"/>
  <c r="K24" i="18"/>
  <c r="L24" i="18"/>
  <c r="E25" i="18"/>
  <c r="F25" i="18"/>
  <c r="G25" i="18"/>
  <c r="H25" i="18"/>
  <c r="I25" i="18"/>
  <c r="J25" i="18"/>
  <c r="K25" i="18"/>
  <c r="L25" i="18"/>
  <c r="E26" i="18"/>
  <c r="F26" i="18"/>
  <c r="G26" i="18"/>
  <c r="H26" i="18"/>
  <c r="I26" i="18"/>
  <c r="J26" i="18"/>
  <c r="K26" i="18"/>
  <c r="L26" i="18"/>
  <c r="E28" i="18"/>
  <c r="F28" i="18"/>
  <c r="G28" i="18"/>
  <c r="H28" i="18"/>
  <c r="I28" i="18"/>
  <c r="J28" i="18"/>
  <c r="K28" i="18"/>
  <c r="L28" i="18"/>
  <c r="D23" i="18"/>
  <c r="D24" i="18"/>
  <c r="D25" i="18"/>
  <c r="D26" i="18"/>
  <c r="D28" i="18"/>
  <c r="C28" i="18"/>
  <c r="C24" i="18"/>
  <c r="C25" i="18"/>
  <c r="C26" i="18"/>
  <c r="C23" i="18"/>
  <c r="B24" i="18"/>
  <c r="B25" i="18"/>
  <c r="B26" i="18"/>
  <c r="B30" i="18"/>
  <c r="B31" i="18"/>
  <c r="B32" i="18"/>
  <c r="B33" i="18"/>
  <c r="B34" i="18"/>
  <c r="B35" i="18"/>
  <c r="B36" i="18"/>
  <c r="B23" i="18"/>
  <c r="F7" i="18"/>
  <c r="B21" i="18"/>
  <c r="C4" i="18"/>
  <c r="C3" i="18"/>
  <c r="D3" i="18"/>
  <c r="E3" i="18"/>
  <c r="F3" i="18"/>
  <c r="G3" i="18"/>
  <c r="H3" i="18"/>
  <c r="I3" i="18"/>
  <c r="J3" i="18"/>
  <c r="K3" i="18"/>
  <c r="L3" i="18"/>
  <c r="L18" i="18"/>
  <c r="K18" i="18"/>
  <c r="J18" i="18"/>
  <c r="I18" i="18"/>
  <c r="H18" i="18"/>
  <c r="G18" i="18"/>
  <c r="L17" i="18"/>
  <c r="K17" i="18"/>
  <c r="J17" i="18"/>
  <c r="I17" i="18"/>
  <c r="H17" i="18"/>
  <c r="G17" i="18"/>
  <c r="L16" i="18"/>
  <c r="K16" i="18"/>
  <c r="J16" i="18"/>
  <c r="I16" i="18"/>
  <c r="H16" i="18"/>
  <c r="G16" i="18"/>
  <c r="L15" i="18"/>
  <c r="K15" i="18"/>
  <c r="J15" i="18"/>
  <c r="I15" i="18"/>
  <c r="H15" i="18"/>
  <c r="G15" i="18"/>
  <c r="L14" i="18"/>
  <c r="K14" i="18"/>
  <c r="J14" i="18"/>
  <c r="I14" i="18"/>
  <c r="H14" i="18"/>
  <c r="G14" i="18"/>
  <c r="L13" i="18"/>
  <c r="K13" i="18"/>
  <c r="J13" i="18"/>
  <c r="I13" i="18"/>
  <c r="H13" i="18"/>
  <c r="G13" i="18"/>
  <c r="L12" i="18"/>
  <c r="K12" i="18"/>
  <c r="J12" i="18"/>
  <c r="I12" i="18"/>
  <c r="H12" i="18"/>
  <c r="G12" i="18"/>
  <c r="L11" i="18"/>
  <c r="K11" i="18"/>
  <c r="J11" i="18"/>
  <c r="I11" i="18"/>
  <c r="H11" i="18"/>
  <c r="G11" i="18"/>
  <c r="L10" i="18"/>
  <c r="K10" i="18"/>
  <c r="J10" i="18"/>
  <c r="I10" i="18"/>
  <c r="H10" i="18"/>
  <c r="G10" i="18"/>
  <c r="L9" i="18"/>
  <c r="K9" i="18"/>
  <c r="J9" i="18"/>
  <c r="I9" i="18"/>
  <c r="H9" i="18"/>
  <c r="G9" i="18"/>
  <c r="L8" i="18"/>
  <c r="K8" i="18"/>
  <c r="J8" i="18"/>
  <c r="I8" i="18"/>
  <c r="H8" i="18"/>
  <c r="G8" i="18"/>
  <c r="L7" i="18"/>
  <c r="K7" i="18"/>
  <c r="J7" i="18"/>
  <c r="I7" i="18"/>
  <c r="H7" i="18"/>
  <c r="G7" i="18"/>
  <c r="L6" i="18"/>
  <c r="K6" i="18"/>
  <c r="J6" i="18"/>
  <c r="I6" i="18"/>
  <c r="H6" i="18"/>
  <c r="G6" i="18"/>
  <c r="L5" i="18"/>
  <c r="K5" i="18"/>
  <c r="J5" i="18"/>
  <c r="I5" i="18"/>
  <c r="H5" i="18"/>
  <c r="G5" i="18"/>
  <c r="L4" i="18"/>
  <c r="K4" i="18"/>
  <c r="J4" i="18"/>
  <c r="I4" i="18"/>
  <c r="H4" i="18"/>
  <c r="G4" i="18"/>
  <c r="D4" i="18"/>
  <c r="E4" i="18"/>
  <c r="F4" i="18"/>
  <c r="D5" i="18"/>
  <c r="E5" i="18"/>
  <c r="F5" i="18"/>
  <c r="D6" i="18"/>
  <c r="E6" i="18"/>
  <c r="F6" i="18"/>
  <c r="D7" i="18"/>
  <c r="E7" i="18"/>
  <c r="D8" i="18"/>
  <c r="E8" i="18"/>
  <c r="F8" i="18"/>
  <c r="D9" i="18"/>
  <c r="E9" i="18"/>
  <c r="F9" i="18"/>
  <c r="D10" i="18"/>
  <c r="E10" i="18"/>
  <c r="F10" i="18"/>
  <c r="D11" i="18"/>
  <c r="E11" i="18"/>
  <c r="F11" i="18"/>
  <c r="D12" i="18"/>
  <c r="E12" i="18"/>
  <c r="F12" i="18"/>
  <c r="D13" i="18"/>
  <c r="E13" i="18"/>
  <c r="F13" i="18"/>
  <c r="D14" i="18"/>
  <c r="E14" i="18"/>
  <c r="F14" i="18"/>
  <c r="D15" i="18"/>
  <c r="E15" i="18"/>
  <c r="F15" i="18"/>
  <c r="D16" i="18"/>
  <c r="E16" i="18"/>
  <c r="F16" i="18"/>
  <c r="D17" i="18"/>
  <c r="E17" i="18"/>
  <c r="F17" i="18"/>
  <c r="D18" i="18"/>
  <c r="E18" i="18"/>
  <c r="F18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33" i="6"/>
  <c r="D33" i="6"/>
  <c r="E33" i="6"/>
  <c r="F33" i="6"/>
  <c r="G33" i="6"/>
  <c r="H33" i="6"/>
  <c r="I33" i="6"/>
  <c r="J33" i="6"/>
  <c r="K33" i="6"/>
  <c r="C32" i="6"/>
  <c r="D32" i="6"/>
  <c r="E32" i="6"/>
  <c r="F32" i="6"/>
  <c r="G32" i="6"/>
  <c r="H32" i="6"/>
  <c r="I32" i="6"/>
  <c r="J32" i="6"/>
  <c r="K32" i="6"/>
  <c r="B33" i="6"/>
  <c r="B32" i="6"/>
  <c r="B17" i="18"/>
  <c r="B18" i="18"/>
  <c r="B5" i="18"/>
  <c r="B6" i="18"/>
  <c r="B7" i="18"/>
  <c r="B8" i="18"/>
  <c r="B9" i="18"/>
  <c r="B10" i="18"/>
  <c r="B11" i="18"/>
  <c r="B12" i="18"/>
  <c r="B13" i="18"/>
  <c r="B14" i="18"/>
  <c r="B15" i="18"/>
  <c r="B16" i="18"/>
  <c r="B4" i="18"/>
  <c r="B2" i="18"/>
  <c r="Q23" i="17"/>
  <c r="S23" i="17"/>
  <c r="O23" i="17"/>
  <c r="L22" i="18" l="1"/>
  <c r="X22" i="18" s="1"/>
  <c r="AH22" i="18" s="1"/>
  <c r="AQ22" i="18" s="1"/>
  <c r="X3" i="18"/>
  <c r="AH3" i="18" s="1"/>
  <c r="AQ3" i="18" s="1"/>
  <c r="D22" i="18"/>
  <c r="P22" i="18" s="1"/>
  <c r="P3" i="18"/>
  <c r="K22" i="18"/>
  <c r="W22" i="18" s="1"/>
  <c r="AG22" i="18" s="1"/>
  <c r="AP22" i="18" s="1"/>
  <c r="W3" i="18"/>
  <c r="AG3" i="18" s="1"/>
  <c r="AP3" i="18" s="1"/>
  <c r="C22" i="18"/>
  <c r="O22" i="18" s="1"/>
  <c r="O3" i="18"/>
  <c r="G22" i="18"/>
  <c r="S22" i="18" s="1"/>
  <c r="AC22" i="18" s="1"/>
  <c r="AL22" i="18" s="1"/>
  <c r="S3" i="18"/>
  <c r="AC3" i="18" s="1"/>
  <c r="AL3" i="18" s="1"/>
  <c r="J22" i="18"/>
  <c r="V22" i="18" s="1"/>
  <c r="AF22" i="18" s="1"/>
  <c r="AO22" i="18" s="1"/>
  <c r="V3" i="18"/>
  <c r="AF3" i="18" s="1"/>
  <c r="AO3" i="18" s="1"/>
  <c r="H22" i="18"/>
  <c r="T22" i="18" s="1"/>
  <c r="AD22" i="18" s="1"/>
  <c r="AM22" i="18" s="1"/>
  <c r="T3" i="18"/>
  <c r="AD3" i="18" s="1"/>
  <c r="AM3" i="18" s="1"/>
  <c r="F22" i="18"/>
  <c r="R22" i="18" s="1"/>
  <c r="AB22" i="18" s="1"/>
  <c r="AK22" i="18" s="1"/>
  <c r="R3" i="18"/>
  <c r="AB3" i="18" s="1"/>
  <c r="AK3" i="18" s="1"/>
  <c r="E22" i="18"/>
  <c r="Q22" i="18" s="1"/>
  <c r="AA22" i="18" s="1"/>
  <c r="Q3" i="18"/>
  <c r="AA3" i="18" s="1"/>
  <c r="I22" i="18"/>
  <c r="U22" i="18" s="1"/>
  <c r="AE22" i="18" s="1"/>
  <c r="AN22" i="18" s="1"/>
  <c r="U3" i="18"/>
  <c r="AE3" i="18" s="1"/>
  <c r="AN3" i="18" s="1"/>
  <c r="F6" i="17"/>
  <c r="Q21" i="17" l="1"/>
  <c r="S21" i="17"/>
  <c r="O21" i="17"/>
  <c r="L6" i="17"/>
  <c r="K6" i="17"/>
  <c r="J6" i="17"/>
  <c r="I6" i="17"/>
  <c r="E7" i="17" l="1"/>
  <c r="E8" i="17"/>
  <c r="E9" i="17"/>
  <c r="E6" i="17"/>
  <c r="B19" i="17"/>
  <c r="B2" i="17"/>
  <c r="E7" i="12"/>
  <c r="E12" i="12"/>
  <c r="E13" i="12"/>
  <c r="E10" i="12"/>
  <c r="E4" i="12"/>
  <c r="E14" i="12" s="1"/>
  <c r="H23" i="12"/>
  <c r="I8" i="12"/>
  <c r="J8" i="12"/>
  <c r="K8" i="12"/>
  <c r="L8" i="12"/>
  <c r="M8" i="12"/>
  <c r="N8" i="12"/>
  <c r="O8" i="12"/>
  <c r="P8" i="12"/>
  <c r="Q8" i="12"/>
  <c r="H8" i="12"/>
  <c r="I7" i="12"/>
  <c r="J7" i="12"/>
  <c r="K7" i="12"/>
  <c r="L7" i="12"/>
  <c r="M7" i="12"/>
  <c r="N7" i="12"/>
  <c r="O7" i="12"/>
  <c r="P7" i="12"/>
  <c r="Q7" i="12"/>
  <c r="H7" i="12"/>
  <c r="I6" i="12"/>
  <c r="J6" i="12"/>
  <c r="K6" i="12"/>
  <c r="L6" i="12"/>
  <c r="M6" i="12"/>
  <c r="N6" i="12"/>
  <c r="O6" i="12"/>
  <c r="P6" i="12"/>
  <c r="Q6" i="12"/>
  <c r="H6" i="12"/>
  <c r="I4" i="12"/>
  <c r="I10" i="12" s="1"/>
  <c r="J4" i="12"/>
  <c r="J10" i="12" s="1"/>
  <c r="K4" i="12"/>
  <c r="K10" i="12" s="1"/>
  <c r="L4" i="12"/>
  <c r="L10" i="12" s="1"/>
  <c r="M4" i="12"/>
  <c r="M10" i="12" s="1"/>
  <c r="N4" i="12"/>
  <c r="N10" i="12" s="1"/>
  <c r="O4" i="12"/>
  <c r="O10" i="12" s="1"/>
  <c r="P4" i="12"/>
  <c r="P10" i="12" s="1"/>
  <c r="Q4" i="12"/>
  <c r="Q10" i="12" s="1"/>
  <c r="H4" i="12"/>
  <c r="H10" i="12" s="1"/>
  <c r="G2" i="12"/>
  <c r="B2" i="12"/>
  <c r="S6" i="17" l="1"/>
  <c r="G6" i="17"/>
  <c r="S9" i="17"/>
  <c r="G9" i="17"/>
  <c r="S8" i="17"/>
  <c r="G8" i="17"/>
  <c r="S7" i="17"/>
  <c r="G7" i="17"/>
  <c r="E15" i="12"/>
  <c r="E17" i="12" s="1"/>
  <c r="H13" i="12" s="1"/>
  <c r="Q7" i="17" l="1"/>
  <c r="O7" i="17"/>
  <c r="O8" i="17"/>
  <c r="Q8" i="17"/>
  <c r="O9" i="17"/>
  <c r="Q9" i="17"/>
  <c r="Q6" i="17"/>
  <c r="O6" i="17"/>
  <c r="S16" i="17"/>
  <c r="S13" i="17"/>
  <c r="S22" i="17" s="1"/>
  <c r="S15" i="17"/>
  <c r="S14" i="17"/>
  <c r="S12" i="17"/>
  <c r="S11" i="17"/>
  <c r="J16" i="12"/>
  <c r="J17" i="12" s="1"/>
  <c r="H16" i="12"/>
  <c r="H17" i="12" s="1"/>
  <c r="K16" i="12"/>
  <c r="K17" i="12" s="1"/>
  <c r="H14" i="12"/>
  <c r="Q18" i="12" s="1"/>
  <c r="L16" i="12"/>
  <c r="L17" i="12" s="1"/>
  <c r="M16" i="12"/>
  <c r="M17" i="12" s="1"/>
  <c r="N16" i="12"/>
  <c r="N17" i="12" s="1"/>
  <c r="O16" i="12"/>
  <c r="O17" i="12" s="1"/>
  <c r="P16" i="12"/>
  <c r="P17" i="12" s="1"/>
  <c r="I16" i="12"/>
  <c r="I17" i="12" s="1"/>
  <c r="Q16" i="12"/>
  <c r="Q17" i="12" s="1"/>
  <c r="G38" i="10"/>
  <c r="G40" i="10" s="1"/>
  <c r="D38" i="10"/>
  <c r="J37" i="10"/>
  <c r="H37" i="10"/>
  <c r="E37" i="10"/>
  <c r="D32" i="10"/>
  <c r="E32" i="10"/>
  <c r="F32" i="10"/>
  <c r="G32" i="10"/>
  <c r="H32" i="10"/>
  <c r="I32" i="10"/>
  <c r="J32" i="10"/>
  <c r="K32" i="10"/>
  <c r="L32" i="10"/>
  <c r="C32" i="10"/>
  <c r="I31" i="10"/>
  <c r="D30" i="10"/>
  <c r="D31" i="10" s="1"/>
  <c r="E30" i="10"/>
  <c r="E31" i="10" s="1"/>
  <c r="F30" i="10"/>
  <c r="F31" i="10" s="1"/>
  <c r="G30" i="10"/>
  <c r="G31" i="10" s="1"/>
  <c r="H30" i="10"/>
  <c r="H31" i="10" s="1"/>
  <c r="I30" i="10"/>
  <c r="J30" i="10"/>
  <c r="J31" i="10" s="1"/>
  <c r="K30" i="10"/>
  <c r="K31" i="10" s="1"/>
  <c r="L30" i="10"/>
  <c r="L31" i="10" s="1"/>
  <c r="C30" i="10"/>
  <c r="C31" i="10" s="1"/>
  <c r="M53" i="7"/>
  <c r="O8" i="10"/>
  <c r="I27" i="10"/>
  <c r="J27" i="10"/>
  <c r="K27" i="10"/>
  <c r="L27" i="10"/>
  <c r="J26" i="10"/>
  <c r="K26" i="10"/>
  <c r="L26" i="10"/>
  <c r="I26" i="10"/>
  <c r="K25" i="10"/>
  <c r="L25" i="10"/>
  <c r="J25" i="10"/>
  <c r="I25" i="10"/>
  <c r="M38" i="8"/>
  <c r="L38" i="8"/>
  <c r="K38" i="8"/>
  <c r="J38" i="8"/>
  <c r="L37" i="8"/>
  <c r="M37" i="8"/>
  <c r="K37" i="8"/>
  <c r="J37" i="8"/>
  <c r="M22" i="10"/>
  <c r="N22" i="10"/>
  <c r="O22" i="10"/>
  <c r="P22" i="10"/>
  <c r="Q22" i="10"/>
  <c r="M5" i="10"/>
  <c r="D22" i="10"/>
  <c r="E22" i="10"/>
  <c r="F22" i="10"/>
  <c r="G22" i="10"/>
  <c r="H22" i="10"/>
  <c r="I22" i="10"/>
  <c r="J22" i="10"/>
  <c r="K22" i="10"/>
  <c r="L22" i="10"/>
  <c r="C22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D19" i="10"/>
  <c r="D36" i="10" s="1"/>
  <c r="E19" i="10"/>
  <c r="E36" i="10" s="1"/>
  <c r="F19" i="10"/>
  <c r="F36" i="10" s="1"/>
  <c r="G19" i="10"/>
  <c r="G36" i="10" s="1"/>
  <c r="H19" i="10"/>
  <c r="H36" i="10" s="1"/>
  <c r="I19" i="10"/>
  <c r="I36" i="10" s="1"/>
  <c r="J19" i="10"/>
  <c r="J36" i="10" s="1"/>
  <c r="K19" i="10"/>
  <c r="K36" i="10" s="1"/>
  <c r="L19" i="10"/>
  <c r="L36" i="10" s="1"/>
  <c r="M19" i="10"/>
  <c r="N19" i="10"/>
  <c r="O19" i="10"/>
  <c r="P19" i="10"/>
  <c r="Q19" i="10"/>
  <c r="D20" i="10"/>
  <c r="D37" i="10" s="1"/>
  <c r="E20" i="10"/>
  <c r="F20" i="10"/>
  <c r="F37" i="10" s="1"/>
  <c r="G20" i="10"/>
  <c r="G37" i="10" s="1"/>
  <c r="H20" i="10"/>
  <c r="I20" i="10"/>
  <c r="I37" i="10" s="1"/>
  <c r="J20" i="10"/>
  <c r="K20" i="10"/>
  <c r="K37" i="10" s="1"/>
  <c r="L20" i="10"/>
  <c r="L37" i="10" s="1"/>
  <c r="M20" i="10"/>
  <c r="N20" i="10"/>
  <c r="O20" i="10"/>
  <c r="P20" i="10"/>
  <c r="Q20" i="10"/>
  <c r="D21" i="10"/>
  <c r="E21" i="10"/>
  <c r="E38" i="10" s="1"/>
  <c r="E40" i="10" s="1"/>
  <c r="J21" i="10"/>
  <c r="J38" i="10" s="1"/>
  <c r="J40" i="10" s="1"/>
  <c r="K21" i="10"/>
  <c r="K38" i="10" s="1"/>
  <c r="K40" i="10" s="1"/>
  <c r="L21" i="10"/>
  <c r="L38" i="10" s="1"/>
  <c r="L40" i="10" s="1"/>
  <c r="N49" i="7"/>
  <c r="O49" i="7" s="1"/>
  <c r="M49" i="7"/>
  <c r="N48" i="7"/>
  <c r="O48" i="7"/>
  <c r="P48" i="7"/>
  <c r="Q48" i="7"/>
  <c r="M48" i="7"/>
  <c r="M47" i="7"/>
  <c r="D41" i="7"/>
  <c r="E41" i="7"/>
  <c r="F41" i="7"/>
  <c r="G41" i="7"/>
  <c r="L41" i="7"/>
  <c r="C41" i="7"/>
  <c r="D42" i="7"/>
  <c r="E42" i="7"/>
  <c r="F42" i="7"/>
  <c r="F21" i="10" s="1"/>
  <c r="F38" i="10" s="1"/>
  <c r="G42" i="7"/>
  <c r="G21" i="10" s="1"/>
  <c r="H42" i="7"/>
  <c r="H41" i="7" s="1"/>
  <c r="I42" i="7"/>
  <c r="I41" i="7" s="1"/>
  <c r="J42" i="7"/>
  <c r="J41" i="7" s="1"/>
  <c r="K42" i="7"/>
  <c r="K41" i="7" s="1"/>
  <c r="L42" i="7"/>
  <c r="C42" i="7"/>
  <c r="C21" i="10" s="1"/>
  <c r="C38" i="10" s="1"/>
  <c r="B2" i="10"/>
  <c r="D40" i="10" l="1"/>
  <c r="F40" i="10"/>
  <c r="S20" i="17"/>
  <c r="S24" i="17"/>
  <c r="O13" i="17"/>
  <c r="O14" i="17"/>
  <c r="O12" i="17"/>
  <c r="O11" i="17"/>
  <c r="O16" i="17"/>
  <c r="O15" i="17"/>
  <c r="Q14" i="17"/>
  <c r="Q13" i="17"/>
  <c r="Q20" i="17" s="1"/>
  <c r="Q22" i="17" s="1"/>
  <c r="Q24" i="17" s="1"/>
  <c r="Q15" i="17"/>
  <c r="Q12" i="17"/>
  <c r="Q11" i="17"/>
  <c r="Q16" i="17"/>
  <c r="H20" i="12"/>
  <c r="H21" i="12" s="1"/>
  <c r="H24" i="12" s="1"/>
  <c r="M41" i="7"/>
  <c r="N41" i="7" s="1"/>
  <c r="M42" i="7"/>
  <c r="M21" i="10" s="1"/>
  <c r="I21" i="10"/>
  <c r="I38" i="10" s="1"/>
  <c r="I40" i="10" s="1"/>
  <c r="H21" i="10"/>
  <c r="H38" i="10" s="1"/>
  <c r="H40" i="10" s="1"/>
  <c r="P49" i="7"/>
  <c r="Q49" i="7" s="1"/>
  <c r="L95" i="7"/>
  <c r="K95" i="7"/>
  <c r="J95" i="7"/>
  <c r="I95" i="7"/>
  <c r="H95" i="7"/>
  <c r="G95" i="7"/>
  <c r="F95" i="7"/>
  <c r="E95" i="7"/>
  <c r="D95" i="7"/>
  <c r="L94" i="7"/>
  <c r="K94" i="7"/>
  <c r="J94" i="7"/>
  <c r="I94" i="7"/>
  <c r="H94" i="7"/>
  <c r="G94" i="7"/>
  <c r="F94" i="7"/>
  <c r="E94" i="7"/>
  <c r="D94" i="7"/>
  <c r="C95" i="7"/>
  <c r="C94" i="7"/>
  <c r="L93" i="7"/>
  <c r="K93" i="7"/>
  <c r="J93" i="7"/>
  <c r="I93" i="7"/>
  <c r="H93" i="7"/>
  <c r="G93" i="7"/>
  <c r="F93" i="7"/>
  <c r="E93" i="7"/>
  <c r="D93" i="7"/>
  <c r="L92" i="7"/>
  <c r="K92" i="7"/>
  <c r="J92" i="7"/>
  <c r="I92" i="7"/>
  <c r="H92" i="7"/>
  <c r="G92" i="7"/>
  <c r="F92" i="7"/>
  <c r="E92" i="7"/>
  <c r="D92" i="7"/>
  <c r="L91" i="7"/>
  <c r="K91" i="7"/>
  <c r="J91" i="7"/>
  <c r="I91" i="7"/>
  <c r="H91" i="7"/>
  <c r="G91" i="7"/>
  <c r="F91" i="7"/>
  <c r="E91" i="7"/>
  <c r="D91" i="7"/>
  <c r="L90" i="7"/>
  <c r="K90" i="7"/>
  <c r="J90" i="7"/>
  <c r="I90" i="7"/>
  <c r="H90" i="7"/>
  <c r="G90" i="7"/>
  <c r="F90" i="7"/>
  <c r="E90" i="7"/>
  <c r="D90" i="7"/>
  <c r="L89" i="7"/>
  <c r="K89" i="7"/>
  <c r="J89" i="7"/>
  <c r="I89" i="7"/>
  <c r="H89" i="7"/>
  <c r="G89" i="7"/>
  <c r="F89" i="7"/>
  <c r="E89" i="7"/>
  <c r="D89" i="7"/>
  <c r="C93" i="7"/>
  <c r="C92" i="7"/>
  <c r="C91" i="7"/>
  <c r="C90" i="7"/>
  <c r="C89" i="7"/>
  <c r="L73" i="7"/>
  <c r="K73" i="7"/>
  <c r="J73" i="7"/>
  <c r="I73" i="7"/>
  <c r="H73" i="7"/>
  <c r="G73" i="7"/>
  <c r="F73" i="7"/>
  <c r="E73" i="7"/>
  <c r="D73" i="7"/>
  <c r="C73" i="7"/>
  <c r="L72" i="7"/>
  <c r="K72" i="7"/>
  <c r="J72" i="7"/>
  <c r="I72" i="7"/>
  <c r="H72" i="7"/>
  <c r="G72" i="7"/>
  <c r="F72" i="7"/>
  <c r="E72" i="7"/>
  <c r="D72" i="7"/>
  <c r="C72" i="7"/>
  <c r="L71" i="7"/>
  <c r="K71" i="7"/>
  <c r="J71" i="7"/>
  <c r="I71" i="7"/>
  <c r="H71" i="7"/>
  <c r="G71" i="7"/>
  <c r="F71" i="7"/>
  <c r="E71" i="7"/>
  <c r="D71" i="7"/>
  <c r="C71" i="7"/>
  <c r="L70" i="7"/>
  <c r="K70" i="7"/>
  <c r="J70" i="7"/>
  <c r="I70" i="7"/>
  <c r="H70" i="7"/>
  <c r="G70" i="7"/>
  <c r="F70" i="7"/>
  <c r="E70" i="7"/>
  <c r="D70" i="7"/>
  <c r="C70" i="7"/>
  <c r="L69" i="7"/>
  <c r="K69" i="7"/>
  <c r="J69" i="7"/>
  <c r="I69" i="7"/>
  <c r="H69" i="7"/>
  <c r="G69" i="7"/>
  <c r="F69" i="7"/>
  <c r="E69" i="7"/>
  <c r="D69" i="7"/>
  <c r="C69" i="7"/>
  <c r="L68" i="7"/>
  <c r="K68" i="7"/>
  <c r="J68" i="7"/>
  <c r="I68" i="7"/>
  <c r="H68" i="7"/>
  <c r="G68" i="7"/>
  <c r="F68" i="7"/>
  <c r="E68" i="7"/>
  <c r="D68" i="7"/>
  <c r="C68" i="7"/>
  <c r="L67" i="7"/>
  <c r="K67" i="7"/>
  <c r="J67" i="7"/>
  <c r="I67" i="7"/>
  <c r="H67" i="7"/>
  <c r="G67" i="7"/>
  <c r="F67" i="7"/>
  <c r="E67" i="7"/>
  <c r="D67" i="7"/>
  <c r="C67" i="7"/>
  <c r="L66" i="7"/>
  <c r="K66" i="7"/>
  <c r="J66" i="7"/>
  <c r="I66" i="7"/>
  <c r="H66" i="7"/>
  <c r="G66" i="7"/>
  <c r="F66" i="7"/>
  <c r="E66" i="7"/>
  <c r="D66" i="7"/>
  <c r="C66" i="7"/>
  <c r="L65" i="7"/>
  <c r="K65" i="7"/>
  <c r="J65" i="7"/>
  <c r="I65" i="7"/>
  <c r="H65" i="7"/>
  <c r="G65" i="7"/>
  <c r="F65" i="7"/>
  <c r="E65" i="7"/>
  <c r="D65" i="7"/>
  <c r="C65" i="7"/>
  <c r="L64" i="7"/>
  <c r="K64" i="7"/>
  <c r="J64" i="7"/>
  <c r="I64" i="7"/>
  <c r="H64" i="7"/>
  <c r="G64" i="7"/>
  <c r="F64" i="7"/>
  <c r="E64" i="7"/>
  <c r="D64" i="7"/>
  <c r="C64" i="7"/>
  <c r="C85" i="7"/>
  <c r="D85" i="7"/>
  <c r="E85" i="7"/>
  <c r="F85" i="7"/>
  <c r="G85" i="7"/>
  <c r="H85" i="7"/>
  <c r="I85" i="7"/>
  <c r="J85" i="7"/>
  <c r="K85" i="7"/>
  <c r="L85" i="7"/>
  <c r="C78" i="7"/>
  <c r="D78" i="7"/>
  <c r="E78" i="7"/>
  <c r="F78" i="7"/>
  <c r="G78" i="7"/>
  <c r="H78" i="7"/>
  <c r="I78" i="7"/>
  <c r="J78" i="7"/>
  <c r="K78" i="7"/>
  <c r="L78" i="7"/>
  <c r="C79" i="7"/>
  <c r="D79" i="7"/>
  <c r="E79" i="7"/>
  <c r="F79" i="7"/>
  <c r="G79" i="7"/>
  <c r="H79" i="7"/>
  <c r="I79" i="7"/>
  <c r="J79" i="7"/>
  <c r="K79" i="7"/>
  <c r="L79" i="7"/>
  <c r="C80" i="7"/>
  <c r="D80" i="7"/>
  <c r="E80" i="7"/>
  <c r="F80" i="7"/>
  <c r="G80" i="7"/>
  <c r="H80" i="7"/>
  <c r="I80" i="7"/>
  <c r="J80" i="7"/>
  <c r="K80" i="7"/>
  <c r="L80" i="7"/>
  <c r="C81" i="7"/>
  <c r="D81" i="7"/>
  <c r="E81" i="7"/>
  <c r="F81" i="7"/>
  <c r="G81" i="7"/>
  <c r="H81" i="7"/>
  <c r="I81" i="7"/>
  <c r="J81" i="7"/>
  <c r="K81" i="7"/>
  <c r="L81" i="7"/>
  <c r="C82" i="7"/>
  <c r="D82" i="7"/>
  <c r="E82" i="7"/>
  <c r="F82" i="7"/>
  <c r="G82" i="7"/>
  <c r="H82" i="7"/>
  <c r="I82" i="7"/>
  <c r="J82" i="7"/>
  <c r="K82" i="7"/>
  <c r="L82" i="7"/>
  <c r="C83" i="7"/>
  <c r="D83" i="7"/>
  <c r="E83" i="7"/>
  <c r="F83" i="7"/>
  <c r="G83" i="7"/>
  <c r="H83" i="7"/>
  <c r="I83" i="7"/>
  <c r="J83" i="7"/>
  <c r="K83" i="7"/>
  <c r="L83" i="7"/>
  <c r="C84" i="7"/>
  <c r="D84" i="7"/>
  <c r="E84" i="7"/>
  <c r="F84" i="7"/>
  <c r="G84" i="7"/>
  <c r="H84" i="7"/>
  <c r="I84" i="7"/>
  <c r="J84" i="7"/>
  <c r="K84" i="7"/>
  <c r="L84" i="7"/>
  <c r="D77" i="7"/>
  <c r="E77" i="7"/>
  <c r="F77" i="7"/>
  <c r="G77" i="7"/>
  <c r="H77" i="7"/>
  <c r="I77" i="7"/>
  <c r="J77" i="7"/>
  <c r="K77" i="7"/>
  <c r="L77" i="7"/>
  <c r="C77" i="7"/>
  <c r="L54" i="7"/>
  <c r="K54" i="7"/>
  <c r="J54" i="7"/>
  <c r="I54" i="7"/>
  <c r="H54" i="7"/>
  <c r="G54" i="7"/>
  <c r="F54" i="7"/>
  <c r="E54" i="7"/>
  <c r="D54" i="7"/>
  <c r="L53" i="7"/>
  <c r="K53" i="7"/>
  <c r="J53" i="7"/>
  <c r="I53" i="7"/>
  <c r="H53" i="7"/>
  <c r="G53" i="7"/>
  <c r="F53" i="7"/>
  <c r="E53" i="7"/>
  <c r="D53" i="7"/>
  <c r="C54" i="7"/>
  <c r="C53" i="7"/>
  <c r="L52" i="7"/>
  <c r="K52" i="7"/>
  <c r="J52" i="7"/>
  <c r="I52" i="7"/>
  <c r="H52" i="7"/>
  <c r="H55" i="7" s="1"/>
  <c r="G52" i="7"/>
  <c r="G55" i="7" s="1"/>
  <c r="F52" i="7"/>
  <c r="F55" i="7" s="1"/>
  <c r="E52" i="7"/>
  <c r="E55" i="7" s="1"/>
  <c r="D52" i="7"/>
  <c r="C52" i="7"/>
  <c r="L49" i="7"/>
  <c r="K49" i="7"/>
  <c r="J49" i="7"/>
  <c r="I49" i="7"/>
  <c r="H49" i="7"/>
  <c r="G49" i="7"/>
  <c r="F49" i="7"/>
  <c r="E49" i="7"/>
  <c r="D49" i="7"/>
  <c r="C49" i="7"/>
  <c r="L48" i="7"/>
  <c r="K48" i="7"/>
  <c r="J48" i="7"/>
  <c r="I48" i="7"/>
  <c r="H48" i="7"/>
  <c r="G48" i="7"/>
  <c r="F48" i="7"/>
  <c r="E48" i="7"/>
  <c r="D48" i="7"/>
  <c r="C48" i="7"/>
  <c r="L47" i="7"/>
  <c r="K47" i="7"/>
  <c r="J47" i="7"/>
  <c r="I47" i="7"/>
  <c r="H47" i="7"/>
  <c r="G47" i="7"/>
  <c r="F47" i="7"/>
  <c r="E47" i="7"/>
  <c r="D47" i="7"/>
  <c r="C47" i="7"/>
  <c r="D46" i="7"/>
  <c r="E46" i="7"/>
  <c r="F46" i="7"/>
  <c r="G46" i="7"/>
  <c r="H46" i="7"/>
  <c r="I46" i="7"/>
  <c r="J46" i="7"/>
  <c r="K46" i="7"/>
  <c r="L46" i="7"/>
  <c r="C46" i="7"/>
  <c r="D40" i="7"/>
  <c r="E40" i="7"/>
  <c r="F40" i="7"/>
  <c r="G40" i="7"/>
  <c r="H40" i="7"/>
  <c r="I40" i="7"/>
  <c r="J40" i="7"/>
  <c r="K40" i="7"/>
  <c r="L40" i="7"/>
  <c r="C40" i="7"/>
  <c r="D39" i="7"/>
  <c r="E39" i="7"/>
  <c r="F39" i="7"/>
  <c r="G39" i="7"/>
  <c r="H39" i="7"/>
  <c r="I39" i="7"/>
  <c r="J39" i="7"/>
  <c r="K39" i="7"/>
  <c r="L39" i="7"/>
  <c r="C39" i="7"/>
  <c r="D38" i="7"/>
  <c r="E38" i="7"/>
  <c r="F38" i="7"/>
  <c r="G38" i="7"/>
  <c r="H38" i="7"/>
  <c r="I38" i="7"/>
  <c r="J38" i="7"/>
  <c r="K38" i="7"/>
  <c r="L38" i="7"/>
  <c r="C38" i="7"/>
  <c r="D14" i="7"/>
  <c r="E14" i="7"/>
  <c r="F14" i="7"/>
  <c r="G14" i="7"/>
  <c r="H14" i="7"/>
  <c r="I14" i="7"/>
  <c r="J14" i="7"/>
  <c r="K14" i="7"/>
  <c r="L14" i="7"/>
  <c r="C14" i="7"/>
  <c r="D9" i="7"/>
  <c r="E9" i="7"/>
  <c r="F9" i="7"/>
  <c r="G9" i="7"/>
  <c r="H9" i="7"/>
  <c r="I9" i="7"/>
  <c r="J9" i="7"/>
  <c r="K9" i="7"/>
  <c r="L9" i="7"/>
  <c r="C9" i="7"/>
  <c r="D29" i="7"/>
  <c r="E29" i="7"/>
  <c r="F29" i="7"/>
  <c r="G29" i="7"/>
  <c r="H29" i="7"/>
  <c r="I29" i="7"/>
  <c r="J29" i="7"/>
  <c r="K29" i="7"/>
  <c r="L29" i="7"/>
  <c r="C29" i="7"/>
  <c r="D24" i="7"/>
  <c r="E24" i="7"/>
  <c r="F24" i="7"/>
  <c r="G24" i="7"/>
  <c r="H24" i="7"/>
  <c r="I24" i="7"/>
  <c r="J24" i="7"/>
  <c r="K24" i="7"/>
  <c r="L24" i="7"/>
  <c r="C24" i="7"/>
  <c r="D19" i="7"/>
  <c r="E19" i="7"/>
  <c r="F19" i="7"/>
  <c r="G19" i="7"/>
  <c r="H19" i="7"/>
  <c r="I19" i="7"/>
  <c r="J19" i="7"/>
  <c r="K19" i="7"/>
  <c r="L19" i="7"/>
  <c r="C19" i="7"/>
  <c r="D6" i="7"/>
  <c r="E6" i="7"/>
  <c r="F6" i="7"/>
  <c r="G6" i="7"/>
  <c r="H6" i="7"/>
  <c r="I6" i="7"/>
  <c r="I7" i="7" s="1"/>
  <c r="J6" i="7"/>
  <c r="J7" i="7" s="1"/>
  <c r="K6" i="7"/>
  <c r="L6" i="7"/>
  <c r="C6" i="7"/>
  <c r="B6" i="7"/>
  <c r="L3" i="7"/>
  <c r="K3" i="7"/>
  <c r="K3" i="10" s="1"/>
  <c r="D3" i="7"/>
  <c r="D3" i="10" s="1"/>
  <c r="E3" i="7"/>
  <c r="E3" i="10" s="1"/>
  <c r="F3" i="7"/>
  <c r="F3" i="10" s="1"/>
  <c r="G3" i="7"/>
  <c r="G3" i="10" s="1"/>
  <c r="H3" i="7"/>
  <c r="H3" i="10" s="1"/>
  <c r="I3" i="7"/>
  <c r="I3" i="10" s="1"/>
  <c r="J3" i="7"/>
  <c r="J3" i="10" s="1"/>
  <c r="C3" i="7"/>
  <c r="C3" i="10" s="1"/>
  <c r="B2" i="7"/>
  <c r="O22" i="17" l="1"/>
  <c r="O24" i="17" s="1"/>
  <c r="O20" i="17"/>
  <c r="O41" i="7"/>
  <c r="P41" i="7" s="1"/>
  <c r="N42" i="7"/>
  <c r="C20" i="10"/>
  <c r="C37" i="10" s="1"/>
  <c r="C19" i="10"/>
  <c r="C36" i="10" s="1"/>
  <c r="C40" i="10" s="1"/>
  <c r="C13" i="10"/>
  <c r="C13" i="7"/>
  <c r="E13" i="10"/>
  <c r="I51" i="7"/>
  <c r="H44" i="7"/>
  <c r="L13" i="10"/>
  <c r="H51" i="7"/>
  <c r="G51" i="7"/>
  <c r="I55" i="7"/>
  <c r="F51" i="7"/>
  <c r="F57" i="7" s="1"/>
  <c r="J55" i="7"/>
  <c r="I13" i="10"/>
  <c r="C55" i="7"/>
  <c r="K55" i="7"/>
  <c r="M3" i="7"/>
  <c r="M3" i="10" s="1"/>
  <c r="L3" i="10"/>
  <c r="G13" i="10"/>
  <c r="F13" i="10"/>
  <c r="F14" i="10"/>
  <c r="D13" i="10"/>
  <c r="G44" i="7"/>
  <c r="K13" i="10"/>
  <c r="J13" i="10"/>
  <c r="H7" i="7"/>
  <c r="H13" i="10"/>
  <c r="D55" i="7"/>
  <c r="C96" i="7"/>
  <c r="F86" i="7"/>
  <c r="I96" i="7"/>
  <c r="L96" i="7"/>
  <c r="M81" i="7"/>
  <c r="N81" i="7" s="1"/>
  <c r="M70" i="7"/>
  <c r="N70" i="7" s="1"/>
  <c r="O70" i="7" s="1"/>
  <c r="P70" i="7" s="1"/>
  <c r="Q70" i="7" s="1"/>
  <c r="M78" i="7"/>
  <c r="N78" i="7" s="1"/>
  <c r="M73" i="7"/>
  <c r="N73" i="7" s="1"/>
  <c r="M94" i="7"/>
  <c r="N94" i="7" s="1"/>
  <c r="O94" i="7" s="1"/>
  <c r="P94" i="7" s="1"/>
  <c r="Q94" i="7" s="1"/>
  <c r="M84" i="7"/>
  <c r="N84" i="7" s="1"/>
  <c r="D44" i="7"/>
  <c r="L51" i="7"/>
  <c r="C86" i="7"/>
  <c r="K96" i="7"/>
  <c r="K7" i="7"/>
  <c r="I44" i="7"/>
  <c r="F96" i="7"/>
  <c r="F44" i="7"/>
  <c r="D86" i="7"/>
  <c r="C44" i="7"/>
  <c r="E44" i="7"/>
  <c r="C51" i="7"/>
  <c r="E51" i="7"/>
  <c r="L44" i="7"/>
  <c r="K44" i="7"/>
  <c r="K51" i="7"/>
  <c r="L86" i="7"/>
  <c r="E96" i="7"/>
  <c r="D51" i="7"/>
  <c r="E86" i="7"/>
  <c r="J44" i="7"/>
  <c r="J51" i="7"/>
  <c r="L55" i="7"/>
  <c r="J96" i="7"/>
  <c r="H96" i="7"/>
  <c r="G96" i="7"/>
  <c r="D96" i="7"/>
  <c r="G86" i="7"/>
  <c r="K86" i="7"/>
  <c r="J86" i="7"/>
  <c r="I86" i="7"/>
  <c r="H86" i="7"/>
  <c r="M52" i="7"/>
  <c r="N52" i="7" s="1"/>
  <c r="H11" i="7"/>
  <c r="M29" i="7"/>
  <c r="F11" i="7"/>
  <c r="G11" i="7"/>
  <c r="M40" i="7"/>
  <c r="E11" i="7"/>
  <c r="L11" i="7"/>
  <c r="D11" i="7"/>
  <c r="D5" i="10" s="1"/>
  <c r="C11" i="7"/>
  <c r="K11" i="7"/>
  <c r="J11" i="7"/>
  <c r="G7" i="7"/>
  <c r="F7" i="7"/>
  <c r="I11" i="7"/>
  <c r="I5" i="10" s="1"/>
  <c r="D7" i="7"/>
  <c r="E7" i="7"/>
  <c r="L7" i="7"/>
  <c r="C6" i="3"/>
  <c r="D6" i="3"/>
  <c r="E6" i="3"/>
  <c r="F6" i="3"/>
  <c r="G6" i="3"/>
  <c r="H6" i="3"/>
  <c r="L6" i="1" s="1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I21" i="2" s="1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C23" i="2" s="1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H14" i="3" s="1"/>
  <c r="I4" i="3"/>
  <c r="I14" i="3" s="1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0" i="2" s="1"/>
  <c r="D4" i="1"/>
  <c r="D6" i="1" s="1"/>
  <c r="D19" i="1" s="1"/>
  <c r="E4" i="1"/>
  <c r="E6" i="1" s="1"/>
  <c r="E19" i="1" s="1"/>
  <c r="F4" i="1"/>
  <c r="F20" i="2" s="1"/>
  <c r="G4" i="1"/>
  <c r="H4" i="1"/>
  <c r="I4" i="1"/>
  <c r="J4" i="1"/>
  <c r="J6" i="1" s="1"/>
  <c r="J19" i="1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D23" i="2" s="1"/>
  <c r="E12" i="1"/>
  <c r="E23" i="2" s="1"/>
  <c r="F12" i="1"/>
  <c r="F13" i="1" s="1"/>
  <c r="G12" i="1"/>
  <c r="G13" i="1" s="1"/>
  <c r="G14" i="1" s="1"/>
  <c r="H12" i="1"/>
  <c r="H13" i="1" s="1"/>
  <c r="I12" i="1"/>
  <c r="I13" i="1" s="1"/>
  <c r="J12" i="1"/>
  <c r="J13" i="1" s="1"/>
  <c r="J14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B20" i="2" s="1"/>
  <c r="A1" i="1"/>
  <c r="A1" i="3" s="1"/>
  <c r="E1" i="6"/>
  <c r="H1" i="1" s="1"/>
  <c r="K23" i="2"/>
  <c r="K16" i="2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J21" i="2"/>
  <c r="H21" i="2"/>
  <c r="G21" i="2"/>
  <c r="B18" i="2"/>
  <c r="B21" i="2"/>
  <c r="B13" i="2"/>
  <c r="B16" i="2" s="1"/>
  <c r="B12" i="2"/>
  <c r="B11" i="2"/>
  <c r="B10" i="2"/>
  <c r="B8" i="2"/>
  <c r="B7" i="2"/>
  <c r="B6" i="2"/>
  <c r="B3" i="2"/>
  <c r="J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E14" i="3"/>
  <c r="G14" i="3"/>
  <c r="G20" i="2"/>
  <c r="J20" i="2"/>
  <c r="E20" i="2"/>
  <c r="M38" i="10" l="1"/>
  <c r="M37" i="10"/>
  <c r="P37" i="10" s="1"/>
  <c r="Q37" i="10" s="1"/>
  <c r="M40" i="10"/>
  <c r="M36" i="10"/>
  <c r="N36" i="10" s="1"/>
  <c r="O36" i="10" s="1"/>
  <c r="N37" i="10"/>
  <c r="N38" i="10"/>
  <c r="M32" i="10"/>
  <c r="O37" i="10"/>
  <c r="Q25" i="17"/>
  <c r="S25" i="17"/>
  <c r="O25" i="17"/>
  <c r="M31" i="10"/>
  <c r="N32" i="10"/>
  <c r="M30" i="10"/>
  <c r="N30" i="10" s="1"/>
  <c r="M27" i="10"/>
  <c r="N27" i="10" s="1"/>
  <c r="M26" i="10"/>
  <c r="N26" i="10" s="1"/>
  <c r="M25" i="10"/>
  <c r="N21" i="10"/>
  <c r="O42" i="7"/>
  <c r="O21" i="10" s="1"/>
  <c r="Q41" i="7"/>
  <c r="C12" i="7"/>
  <c r="C5" i="10"/>
  <c r="L16" i="7"/>
  <c r="L6" i="10" s="1"/>
  <c r="L5" i="10"/>
  <c r="M9" i="7"/>
  <c r="N9" i="7" s="1"/>
  <c r="M38" i="7"/>
  <c r="M66" i="7"/>
  <c r="N66" i="7" s="1"/>
  <c r="M71" i="7"/>
  <c r="N71" i="7" s="1"/>
  <c r="E16" i="7"/>
  <c r="E6" i="10" s="1"/>
  <c r="E5" i="10"/>
  <c r="H12" i="7"/>
  <c r="H5" i="10"/>
  <c r="N3" i="7"/>
  <c r="M79" i="7"/>
  <c r="N79" i="7" s="1"/>
  <c r="M85" i="7"/>
  <c r="N85" i="7" s="1"/>
  <c r="O85" i="7" s="1"/>
  <c r="M80" i="7"/>
  <c r="N80" i="7" s="1"/>
  <c r="M24" i="7"/>
  <c r="O24" i="7" s="1"/>
  <c r="M95" i="7"/>
  <c r="N95" i="7" s="1"/>
  <c r="O95" i="7" s="1"/>
  <c r="M90" i="7"/>
  <c r="N90" i="7" s="1"/>
  <c r="O90" i="7" s="1"/>
  <c r="P90" i="7" s="1"/>
  <c r="M46" i="7"/>
  <c r="M51" i="7" s="1"/>
  <c r="G16" i="7"/>
  <c r="G6" i="10" s="1"/>
  <c r="G5" i="10"/>
  <c r="M68" i="7"/>
  <c r="N68" i="7" s="1"/>
  <c r="O68" i="7" s="1"/>
  <c r="M83" i="7"/>
  <c r="N83" i="7" s="1"/>
  <c r="O83" i="7" s="1"/>
  <c r="P83" i="7" s="1"/>
  <c r="Q83" i="7" s="1"/>
  <c r="J16" i="7"/>
  <c r="J5" i="10"/>
  <c r="F16" i="7"/>
  <c r="F6" i="10" s="1"/>
  <c r="F5" i="10"/>
  <c r="M6" i="7"/>
  <c r="M7" i="7" s="1"/>
  <c r="M92" i="7"/>
  <c r="N92" i="7" s="1"/>
  <c r="M67" i="7"/>
  <c r="N67" i="7" s="1"/>
  <c r="M93" i="7"/>
  <c r="N93" i="7" s="1"/>
  <c r="N40" i="7"/>
  <c r="M13" i="10"/>
  <c r="L57" i="7"/>
  <c r="L14" i="10" s="1"/>
  <c r="N29" i="7"/>
  <c r="O29" i="7" s="1"/>
  <c r="M72" i="7"/>
  <c r="N72" i="7" s="1"/>
  <c r="M91" i="7"/>
  <c r="N91" i="7" s="1"/>
  <c r="N24" i="7"/>
  <c r="M64" i="7"/>
  <c r="N64" i="7" s="1"/>
  <c r="O64" i="7" s="1"/>
  <c r="P64" i="7" s="1"/>
  <c r="Q64" i="7" s="1"/>
  <c r="M54" i="7"/>
  <c r="N54" i="7" s="1"/>
  <c r="M69" i="7"/>
  <c r="N69" i="7" s="1"/>
  <c r="O69" i="7" s="1"/>
  <c r="M14" i="7"/>
  <c r="N14" i="7" s="1"/>
  <c r="M82" i="7"/>
  <c r="N82" i="7" s="1"/>
  <c r="O82" i="7" s="1"/>
  <c r="P82" i="7" s="1"/>
  <c r="K16" i="7"/>
  <c r="K5" i="10"/>
  <c r="N47" i="7"/>
  <c r="N53" i="7"/>
  <c r="O53" i="7" s="1"/>
  <c r="M19" i="7"/>
  <c r="N19" i="7" s="1"/>
  <c r="O19" i="7" s="1"/>
  <c r="M39" i="7"/>
  <c r="N39" i="7" s="1"/>
  <c r="M65" i="7"/>
  <c r="N65" i="7" s="1"/>
  <c r="O65" i="7" s="1"/>
  <c r="M77" i="7"/>
  <c r="N77" i="7" s="1"/>
  <c r="M89" i="7"/>
  <c r="N89" i="7" s="1"/>
  <c r="O89" i="7" s="1"/>
  <c r="P89" i="7" s="1"/>
  <c r="O77" i="7"/>
  <c r="P77" i="7" s="1"/>
  <c r="Q77" i="7" s="1"/>
  <c r="O73" i="7"/>
  <c r="P73" i="7" s="1"/>
  <c r="O78" i="7"/>
  <c r="O67" i="7"/>
  <c r="P67" i="7" s="1"/>
  <c r="O72" i="7"/>
  <c r="P72" i="7" s="1"/>
  <c r="Q72" i="7" s="1"/>
  <c r="O81" i="7"/>
  <c r="P81" i="7" s="1"/>
  <c r="Q81" i="7" s="1"/>
  <c r="F12" i="7"/>
  <c r="K14" i="1"/>
  <c r="L10" i="1"/>
  <c r="C16" i="2"/>
  <c r="N6" i="7"/>
  <c r="N7" i="7" s="1"/>
  <c r="P68" i="7"/>
  <c r="Q68" i="7" s="1"/>
  <c r="O84" i="7"/>
  <c r="P84" i="7" s="1"/>
  <c r="O91" i="7"/>
  <c r="P91" i="7" s="1"/>
  <c r="J23" i="2"/>
  <c r="G6" i="1"/>
  <c r="G19" i="1" s="1"/>
  <c r="I14" i="1"/>
  <c r="E24" i="2"/>
  <c r="F21" i="2"/>
  <c r="E21" i="2"/>
  <c r="A1" i="2"/>
  <c r="A1" i="4" s="1"/>
  <c r="L5" i="1"/>
  <c r="G16" i="2"/>
  <c r="D21" i="2"/>
  <c r="C21" i="2"/>
  <c r="C6" i="1"/>
  <c r="C19" i="1" s="1"/>
  <c r="F14" i="1"/>
  <c r="F23" i="2"/>
  <c r="P53" i="7"/>
  <c r="Q53" i="7" s="1"/>
  <c r="K21" i="2"/>
  <c r="L12" i="1"/>
  <c r="L13" i="1" s="1"/>
  <c r="L14" i="1" s="1"/>
  <c r="L25" i="1" s="1"/>
  <c r="H16" i="2"/>
  <c r="Q73" i="7"/>
  <c r="P95" i="7"/>
  <c r="Q95" i="7" s="1"/>
  <c r="Q90" i="7"/>
  <c r="Q82" i="7"/>
  <c r="D16" i="7"/>
  <c r="O54" i="7"/>
  <c r="P54" i="7" s="1"/>
  <c r="M55" i="7"/>
  <c r="E12" i="7"/>
  <c r="C16" i="7"/>
  <c r="C6" i="10" s="1"/>
  <c r="P19" i="7"/>
  <c r="Q19" i="7" s="1"/>
  <c r="O6" i="7"/>
  <c r="G12" i="7"/>
  <c r="O52" i="7"/>
  <c r="M11" i="7"/>
  <c r="N55" i="7"/>
  <c r="D12" i="7"/>
  <c r="L12" i="7"/>
  <c r="H16" i="7"/>
  <c r="P6" i="7"/>
  <c r="P7" i="7" s="1"/>
  <c r="K12" i="7"/>
  <c r="J17" i="7"/>
  <c r="J12" i="7"/>
  <c r="L17" i="7"/>
  <c r="L21" i="7"/>
  <c r="D21" i="7"/>
  <c r="I12" i="7"/>
  <c r="I16" i="7"/>
  <c r="I6" i="10" s="1"/>
  <c r="E17" i="7"/>
  <c r="E21" i="7"/>
  <c r="N11" i="1"/>
  <c r="M11" i="1"/>
  <c r="H23" i="2"/>
  <c r="J24" i="2"/>
  <c r="D24" i="2"/>
  <c r="I24" i="2"/>
  <c r="L4" i="1"/>
  <c r="L23" i="1" s="1"/>
  <c r="K25" i="1"/>
  <c r="M25" i="1" s="1"/>
  <c r="M14" i="1" s="1"/>
  <c r="C24" i="2"/>
  <c r="H24" i="2"/>
  <c r="J23" i="1"/>
  <c r="K6" i="1"/>
  <c r="K19" i="1" s="1"/>
  <c r="B23" i="2"/>
  <c r="H14" i="1"/>
  <c r="G24" i="2"/>
  <c r="D13" i="1"/>
  <c r="E13" i="1" s="1"/>
  <c r="E14" i="1" s="1"/>
  <c r="I25" i="1" s="1"/>
  <c r="I23" i="1"/>
  <c r="B6" i="1"/>
  <c r="B19" i="1" s="1"/>
  <c r="L9" i="1"/>
  <c r="M9" i="1" s="1"/>
  <c r="L8" i="1"/>
  <c r="N8" i="1" s="1"/>
  <c r="L7" i="1"/>
  <c r="E16" i="2"/>
  <c r="H23" i="1"/>
  <c r="N23" i="1" s="1"/>
  <c r="N4" i="1" s="1"/>
  <c r="D20" i="2"/>
  <c r="G23" i="2"/>
  <c r="E1" i="3"/>
  <c r="B14" i="1"/>
  <c r="I16" i="2"/>
  <c r="K24" i="2"/>
  <c r="B14" i="3"/>
  <c r="I6" i="1"/>
  <c r="I19" i="1" s="1"/>
  <c r="K24" i="1" s="1"/>
  <c r="E1" i="2"/>
  <c r="I23" i="2"/>
  <c r="F24" i="2"/>
  <c r="J25" i="1"/>
  <c r="M8" i="1"/>
  <c r="I20" i="2"/>
  <c r="H20" i="2"/>
  <c r="K23" i="1"/>
  <c r="M23" i="1" s="1"/>
  <c r="M4" i="1" s="1"/>
  <c r="H6" i="1"/>
  <c r="H19" i="1" s="1"/>
  <c r="F6" i="1"/>
  <c r="F19" i="1" s="1"/>
  <c r="E1" i="4"/>
  <c r="O38" i="10" l="1"/>
  <c r="P36" i="10"/>
  <c r="N40" i="10"/>
  <c r="Q36" i="10"/>
  <c r="O30" i="10"/>
  <c r="P30" i="10" s="1"/>
  <c r="Q30" i="10" s="1"/>
  <c r="O26" i="10"/>
  <c r="P26" i="10" s="1"/>
  <c r="Q26" i="10" s="1"/>
  <c r="N25" i="10"/>
  <c r="O25" i="10" s="1"/>
  <c r="N31" i="10"/>
  <c r="O31" i="10" s="1"/>
  <c r="O27" i="10"/>
  <c r="P27" i="10" s="1"/>
  <c r="Q27" i="10" s="1"/>
  <c r="O32" i="10"/>
  <c r="P32" i="10" s="1"/>
  <c r="Q32" i="10" s="1"/>
  <c r="M96" i="7"/>
  <c r="N96" i="7" s="1"/>
  <c r="O80" i="7"/>
  <c r="P80" i="7" s="1"/>
  <c r="P65" i="7"/>
  <c r="Q65" i="7" s="1"/>
  <c r="P42" i="7"/>
  <c r="P21" i="10" s="1"/>
  <c r="M44" i="7"/>
  <c r="H21" i="7"/>
  <c r="H6" i="10"/>
  <c r="M86" i="7"/>
  <c r="N86" i="7" s="1"/>
  <c r="O71" i="7"/>
  <c r="K21" i="7"/>
  <c r="K6" i="10"/>
  <c r="C21" i="7"/>
  <c r="O66" i="7"/>
  <c r="P66" i="7" s="1"/>
  <c r="Q66" i="7" s="1"/>
  <c r="F17" i="7"/>
  <c r="G17" i="7"/>
  <c r="O14" i="7"/>
  <c r="P14" i="7" s="1"/>
  <c r="D17" i="7"/>
  <c r="D6" i="10"/>
  <c r="O47" i="7"/>
  <c r="P47" i="7" s="1"/>
  <c r="Q47" i="7" s="1"/>
  <c r="N46" i="7"/>
  <c r="D63" i="7"/>
  <c r="D7" i="10"/>
  <c r="D15" i="10"/>
  <c r="M57" i="7"/>
  <c r="O3" i="7"/>
  <c r="N3" i="10"/>
  <c r="K17" i="7"/>
  <c r="Q89" i="7"/>
  <c r="N38" i="7"/>
  <c r="P85" i="7"/>
  <c r="Q85" i="7" s="1"/>
  <c r="O93" i="7"/>
  <c r="P93" i="7" s="1"/>
  <c r="Q93" i="7" s="1"/>
  <c r="J21" i="7"/>
  <c r="J6" i="10"/>
  <c r="F21" i="7"/>
  <c r="G21" i="7"/>
  <c r="G26" i="7" s="1"/>
  <c r="P71" i="7"/>
  <c r="Q71" i="7" s="1"/>
  <c r="O9" i="7"/>
  <c r="P9" i="7" s="1"/>
  <c r="Q9" i="7" s="1"/>
  <c r="O79" i="7"/>
  <c r="P79" i="7" s="1"/>
  <c r="Q79" i="7" s="1"/>
  <c r="E15" i="10"/>
  <c r="E7" i="10"/>
  <c r="L15" i="10"/>
  <c r="L7" i="10"/>
  <c r="O39" i="7"/>
  <c r="P39" i="7" s="1"/>
  <c r="Q39" i="7" s="1"/>
  <c r="M12" i="7"/>
  <c r="O40" i="7"/>
  <c r="P29" i="7"/>
  <c r="Q29" i="7" s="1"/>
  <c r="O92" i="7"/>
  <c r="P92" i="7" s="1"/>
  <c r="Q91" i="7"/>
  <c r="P69" i="7"/>
  <c r="Q69" i="7" s="1"/>
  <c r="Q67" i="7"/>
  <c r="G63" i="7"/>
  <c r="P78" i="7"/>
  <c r="Q78" i="7" s="1"/>
  <c r="E26" i="7"/>
  <c r="E27" i="7" s="1"/>
  <c r="E63" i="7"/>
  <c r="L26" i="7"/>
  <c r="L27" i="7" s="1"/>
  <c r="L63" i="7"/>
  <c r="L74" i="7" s="1"/>
  <c r="L98" i="7" s="1"/>
  <c r="H26" i="7"/>
  <c r="H27" i="7" s="1"/>
  <c r="H63" i="7"/>
  <c r="H74" i="7" s="1"/>
  <c r="H98" i="7" s="1"/>
  <c r="Q84" i="7"/>
  <c r="O96" i="7"/>
  <c r="P96" i="7" s="1"/>
  <c r="Q96" i="7" s="1"/>
  <c r="N9" i="1"/>
  <c r="D74" i="7"/>
  <c r="P24" i="7"/>
  <c r="Q24" i="7" s="1"/>
  <c r="H24" i="1"/>
  <c r="D14" i="1"/>
  <c r="H25" i="1" s="1"/>
  <c r="E31" i="7"/>
  <c r="O55" i="7"/>
  <c r="H17" i="7"/>
  <c r="Q54" i="7"/>
  <c r="P52" i="7"/>
  <c r="P55" i="7" s="1"/>
  <c r="N11" i="7"/>
  <c r="N5" i="10" s="1"/>
  <c r="Q14" i="7"/>
  <c r="C22" i="7"/>
  <c r="C26" i="7"/>
  <c r="D26" i="7"/>
  <c r="C17" i="7"/>
  <c r="M16" i="7"/>
  <c r="M6" i="10" s="1"/>
  <c r="O7" i="7"/>
  <c r="Q6" i="7"/>
  <c r="Q7" i="7" s="1"/>
  <c r="G22" i="7"/>
  <c r="I21" i="7"/>
  <c r="I17" i="7"/>
  <c r="H22" i="7"/>
  <c r="D22" i="7"/>
  <c r="L22" i="7"/>
  <c r="F22" i="7"/>
  <c r="E22" i="7"/>
  <c r="I24" i="1"/>
  <c r="N25" i="1"/>
  <c r="N14" i="1" s="1"/>
  <c r="L19" i="1"/>
  <c r="L24" i="1" s="1"/>
  <c r="M24" i="1" s="1"/>
  <c r="M6" i="1" s="1"/>
  <c r="M10" i="1" s="1"/>
  <c r="M12" i="1" s="1"/>
  <c r="M13" i="1" s="1"/>
  <c r="M15" i="1" s="1"/>
  <c r="J24" i="1"/>
  <c r="O40" i="10" l="1"/>
  <c r="P40" i="10"/>
  <c r="Q40" i="10" s="1"/>
  <c r="P38" i="10"/>
  <c r="Q38" i="10" s="1"/>
  <c r="P31" i="10"/>
  <c r="Q31" i="10"/>
  <c r="P25" i="10"/>
  <c r="Q25" i="10" s="1"/>
  <c r="Q92" i="7"/>
  <c r="Q80" i="7"/>
  <c r="Q42" i="7"/>
  <c r="Q21" i="10" s="1"/>
  <c r="M14" i="10"/>
  <c r="G31" i="7"/>
  <c r="G27" i="7"/>
  <c r="E10" i="10"/>
  <c r="E8" i="10"/>
  <c r="I15" i="10"/>
  <c r="I7" i="10"/>
  <c r="O38" i="7"/>
  <c r="N44" i="7"/>
  <c r="N13" i="10"/>
  <c r="N51" i="7"/>
  <c r="N57" i="7" s="1"/>
  <c r="P3" i="7"/>
  <c r="O3" i="10"/>
  <c r="C63" i="7"/>
  <c r="C74" i="7" s="1"/>
  <c r="C7" i="10"/>
  <c r="C15" i="10"/>
  <c r="H7" i="10"/>
  <c r="H15" i="10"/>
  <c r="K15" i="10"/>
  <c r="K7" i="10"/>
  <c r="K63" i="7"/>
  <c r="K74" i="7" s="1"/>
  <c r="K98" i="7" s="1"/>
  <c r="K22" i="7"/>
  <c r="K26" i="7"/>
  <c r="G7" i="10"/>
  <c r="G15" i="10"/>
  <c r="O46" i="7"/>
  <c r="O51" i="7" s="1"/>
  <c r="O57" i="7" s="1"/>
  <c r="F63" i="7"/>
  <c r="F74" i="7" s="1"/>
  <c r="F98" i="7" s="1"/>
  <c r="F7" i="10"/>
  <c r="F15" i="10"/>
  <c r="F26" i="7"/>
  <c r="F27" i="7" s="1"/>
  <c r="L31" i="7"/>
  <c r="O86" i="7"/>
  <c r="P86" i="7" s="1"/>
  <c r="Q86" i="7" s="1"/>
  <c r="P40" i="7"/>
  <c r="J15" i="10"/>
  <c r="J7" i="10"/>
  <c r="J63" i="7"/>
  <c r="J74" i="7" s="1"/>
  <c r="J98" i="7" s="1"/>
  <c r="J22" i="7"/>
  <c r="J26" i="7"/>
  <c r="I26" i="7"/>
  <c r="I27" i="7" s="1"/>
  <c r="I63" i="7"/>
  <c r="I74" i="7" s="1"/>
  <c r="I98" i="7" s="1"/>
  <c r="G74" i="7"/>
  <c r="D98" i="7"/>
  <c r="Q52" i="7"/>
  <c r="Q55" i="7" s="1"/>
  <c r="H31" i="7"/>
  <c r="C98" i="7"/>
  <c r="N24" i="1"/>
  <c r="N6" i="1" s="1"/>
  <c r="E74" i="7"/>
  <c r="M17" i="7"/>
  <c r="I31" i="7"/>
  <c r="F31" i="7"/>
  <c r="O11" i="7"/>
  <c r="O5" i="10" s="1"/>
  <c r="N12" i="7"/>
  <c r="M21" i="7"/>
  <c r="C31" i="7"/>
  <c r="C27" i="7"/>
  <c r="M26" i="7"/>
  <c r="M27" i="7" s="1"/>
  <c r="N16" i="7"/>
  <c r="D27" i="7"/>
  <c r="D31" i="7"/>
  <c r="G32" i="7"/>
  <c r="E32" i="7"/>
  <c r="I22" i="7"/>
  <c r="N10" i="1"/>
  <c r="N12" i="1" s="1"/>
  <c r="N13" i="1" s="1"/>
  <c r="N15" i="1" s="1"/>
  <c r="N5" i="1"/>
  <c r="M5" i="1"/>
  <c r="N14" i="10" l="1"/>
  <c r="O14" i="10"/>
  <c r="N17" i="7"/>
  <c r="N6" i="10"/>
  <c r="P38" i="7"/>
  <c r="P44" i="7" s="1"/>
  <c r="O44" i="7"/>
  <c r="I8" i="10"/>
  <c r="I10" i="10"/>
  <c r="H32" i="7"/>
  <c r="H8" i="10"/>
  <c r="H10" i="10"/>
  <c r="F9" i="10"/>
  <c r="F10" i="10"/>
  <c r="F8" i="10"/>
  <c r="O13" i="10"/>
  <c r="J27" i="7"/>
  <c r="J31" i="7"/>
  <c r="C8" i="10"/>
  <c r="C10" i="10"/>
  <c r="M63" i="7"/>
  <c r="N63" i="7" s="1"/>
  <c r="O63" i="7" s="1"/>
  <c r="L9" i="10"/>
  <c r="L10" i="10"/>
  <c r="L8" i="10"/>
  <c r="M22" i="7"/>
  <c r="M15" i="10"/>
  <c r="M7" i="10"/>
  <c r="P46" i="7"/>
  <c r="P51" i="7" s="1"/>
  <c r="P57" i="7" s="1"/>
  <c r="L32" i="7"/>
  <c r="D10" i="10"/>
  <c r="D8" i="10"/>
  <c r="K31" i="7"/>
  <c r="K27" i="7"/>
  <c r="Q38" i="7"/>
  <c r="Q44" i="7" s="1"/>
  <c r="P13" i="10"/>
  <c r="P14" i="10"/>
  <c r="Q40" i="7"/>
  <c r="Q3" i="7"/>
  <c r="Q3" i="10" s="1"/>
  <c r="P3" i="10"/>
  <c r="O16" i="7"/>
  <c r="M74" i="7"/>
  <c r="M98" i="7" s="1"/>
  <c r="G8" i="10"/>
  <c r="G10" i="10"/>
  <c r="N26" i="7"/>
  <c r="N27" i="7" s="1"/>
  <c r="N21" i="7"/>
  <c r="G98" i="7"/>
  <c r="E98" i="7"/>
  <c r="O12" i="7"/>
  <c r="P11" i="7"/>
  <c r="P5" i="10" s="1"/>
  <c r="P26" i="7"/>
  <c r="C32" i="7"/>
  <c r="M31" i="7"/>
  <c r="D32" i="7"/>
  <c r="O26" i="7"/>
  <c r="O27" i="7" s="1"/>
  <c r="F32" i="7"/>
  <c r="I32" i="7"/>
  <c r="O21" i="7" l="1"/>
  <c r="N7" i="10"/>
  <c r="N15" i="10"/>
  <c r="Q13" i="10"/>
  <c r="Q14" i="10"/>
  <c r="M32" i="7"/>
  <c r="M8" i="10"/>
  <c r="M9" i="10"/>
  <c r="M10" i="10"/>
  <c r="P63" i="7"/>
  <c r="Q63" i="7" s="1"/>
  <c r="Q46" i="7"/>
  <c r="Q51" i="7" s="1"/>
  <c r="Q57" i="7" s="1"/>
  <c r="N74" i="7"/>
  <c r="N98" i="7" s="1"/>
  <c r="O17" i="7"/>
  <c r="O6" i="10"/>
  <c r="P16" i="7"/>
  <c r="K10" i="10"/>
  <c r="K8" i="10"/>
  <c r="K32" i="7"/>
  <c r="J8" i="10"/>
  <c r="J10" i="10"/>
  <c r="J32" i="7"/>
  <c r="N22" i="7"/>
  <c r="N31" i="7"/>
  <c r="O31" i="7"/>
  <c r="N32" i="7"/>
  <c r="Q26" i="7"/>
  <c r="Q27" i="7" s="1"/>
  <c r="P27" i="7"/>
  <c r="Q11" i="7"/>
  <c r="P12" i="7"/>
  <c r="O22" i="7"/>
  <c r="P21" i="7"/>
  <c r="Q12" i="7" l="1"/>
  <c r="Q5" i="10"/>
  <c r="P17" i="7"/>
  <c r="P6" i="10"/>
  <c r="Q16" i="7"/>
  <c r="O32" i="7"/>
  <c r="O9" i="10"/>
  <c r="O10" i="10"/>
  <c r="P7" i="10"/>
  <c r="P15" i="10"/>
  <c r="O74" i="7"/>
  <c r="O98" i="7" s="1"/>
  <c r="N10" i="10"/>
  <c r="N9" i="10"/>
  <c r="N8" i="10"/>
  <c r="O7" i="10"/>
  <c r="O15" i="10"/>
  <c r="P31" i="7"/>
  <c r="Q21" i="7"/>
  <c r="P22" i="7"/>
  <c r="Q31" i="7"/>
  <c r="P32" i="7"/>
  <c r="P74" i="7" l="1"/>
  <c r="P98" i="7" s="1"/>
  <c r="Q32" i="7"/>
  <c r="Q8" i="10"/>
  <c r="Q9" i="10"/>
  <c r="Q10" i="10"/>
  <c r="Q22" i="7"/>
  <c r="Q15" i="10"/>
  <c r="Q7" i="10"/>
  <c r="Q17" i="7"/>
  <c r="Q6" i="10"/>
  <c r="P10" i="10"/>
  <c r="P8" i="10"/>
  <c r="P9" i="10"/>
  <c r="Q74" i="7"/>
  <c r="Q98" i="7" s="1"/>
  <c r="E57" i="7" l="1"/>
  <c r="C57" i="7"/>
  <c r="D57" i="7"/>
  <c r="H57" i="7"/>
  <c r="G57" i="7"/>
  <c r="I57" i="7"/>
  <c r="J57" i="7"/>
  <c r="K57" i="7"/>
  <c r="C18" i="10" l="1"/>
  <c r="C14" i="10"/>
  <c r="C9" i="10"/>
  <c r="D14" i="10"/>
  <c r="D9" i="10"/>
  <c r="E14" i="10"/>
  <c r="E9" i="10"/>
  <c r="K14" i="10"/>
  <c r="K9" i="10"/>
  <c r="J14" i="10"/>
  <c r="J9" i="10"/>
  <c r="I14" i="10"/>
  <c r="I9" i="10"/>
  <c r="G14" i="10"/>
  <c r="G9" i="10"/>
  <c r="H14" i="10"/>
  <c r="H9" i="10"/>
</calcChain>
</file>

<file path=xl/sharedStrings.xml><?xml version="1.0" encoding="utf-8"?>
<sst xmlns="http://schemas.openxmlformats.org/spreadsheetml/2006/main" count="497" uniqueCount="271">
  <si>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</si>
  <si>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</si>
  <si>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</si>
  <si>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</si>
  <si>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</si>
  <si>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</si>
  <si>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</si>
  <si>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</si>
  <si>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</si>
  <si>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</si>
  <si>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</si>
  <si>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</si>
  <si>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</si>
  <si>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</si>
  <si>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</si>
  <si>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</si>
  <si>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</si>
  <si>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</si>
  <si>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</si>
  <si>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</si>
  <si>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</si>
  <si>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</si>
  <si>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</si>
  <si>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</si>
  <si>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</si>
  <si>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</si>
  <si>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</si>
  <si>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</si>
  <si>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</si>
  <si>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</si>
  <si>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</si>
  <si>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</si>
  <si>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</si>
  <si>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</si>
  <si>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</si>
  <si>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</si>
  <si>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</si>
  <si>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</si>
  <si>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</si>
  <si>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</si>
  <si>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</si>
  <si>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</si>
  <si>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</si>
  <si>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</si>
  <si>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</si>
  <si>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</si>
  <si>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</si>
  <si>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</si>
  <si>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</si>
  <si>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</si>
  <si>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</si>
  <si>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</si>
  <si>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</si>
  <si>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</si>
  <si>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</si>
  <si>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</si>
  <si>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</si>
  <si>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</si>
  <si>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</si>
  <si>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</si>
  <si>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</si>
  <si>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</si>
  <si>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</si>
  <si>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</si>
  <si>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</si>
  <si>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</si>
  <si>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</si>
  <si>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</si>
  <si>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</si>
  <si>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</si>
  <si>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</si>
  <si>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</si>
  <si>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</si>
  <si>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</si>
  <si>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</si>
  <si>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</si>
  <si>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</si>
  <si>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</si>
  <si>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</si>
  <si>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</si>
  <si>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</si>
  <si>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</si>
  <si>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</si>
  <si>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</si>
  <si>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</si>
  <si>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</si>
  <si>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</si>
  <si>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</si>
  <si>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</si>
  <si>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</si>
  <si>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</si>
  <si>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</si>
  <si>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</si>
  <si>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</t>
  </si>
  <si>
    <t>#</t>
  </si>
  <si>
    <t>Income Statement</t>
  </si>
  <si>
    <t>-</t>
  </si>
  <si>
    <t>COGS</t>
  </si>
  <si>
    <t>Gross Profit</t>
  </si>
  <si>
    <t>Gross Profit Margins</t>
  </si>
  <si>
    <t>Selling and General Expenses</t>
  </si>
  <si>
    <t>EBITDA</t>
  </si>
  <si>
    <t>EBITDA Margins</t>
  </si>
  <si>
    <t>D&amp;A</t>
  </si>
  <si>
    <t>EBIT</t>
  </si>
  <si>
    <t>EBIT Margins</t>
  </si>
  <si>
    <t>EBT</t>
  </si>
  <si>
    <t>Net Profit</t>
  </si>
  <si>
    <t>Net Profit Margins</t>
  </si>
  <si>
    <t>EBT Margins</t>
  </si>
  <si>
    <t>Balance Sheet</t>
  </si>
  <si>
    <t>Total Liablities</t>
  </si>
  <si>
    <t>Total Non-Current Assets</t>
  </si>
  <si>
    <t>Total Current Assets</t>
  </si>
  <si>
    <t>Total Assets</t>
  </si>
  <si>
    <t>Cash flow Satement</t>
  </si>
  <si>
    <t>Profit from operations</t>
  </si>
  <si>
    <t>Payables</t>
  </si>
  <si>
    <t>Loans Advances</t>
  </si>
  <si>
    <t>Operating Deposits</t>
  </si>
  <si>
    <t>Other WC items</t>
  </si>
  <si>
    <t>Working capital changes</t>
  </si>
  <si>
    <t>Direct taxes</t>
  </si>
  <si>
    <t>Other operating items</t>
  </si>
  <si>
    <t>Exceptional CF items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</si>
  <si>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</si>
  <si>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</si>
  <si>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</si>
  <si>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</si>
  <si>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</si>
  <si>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</si>
  <si>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</si>
  <si>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</si>
  <si>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</si>
  <si>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</si>
  <si>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</si>
  <si>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</si>
  <si>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</si>
  <si>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</si>
  <si>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</si>
  <si>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</si>
  <si>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</si>
  <si>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</si>
  <si>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Operating Activity </t>
    </r>
    <r>
      <rPr>
        <sz val="11"/>
        <color rgb="FF665EFD"/>
        <rFont val="Arial"/>
        <family val="2"/>
      </rPr>
      <t>-</t>
    </r>
  </si>
  <si>
    <t>Cash Flow from Operating Activity</t>
  </si>
  <si>
    <t>Profit from Operations</t>
  </si>
  <si>
    <t>Loan Advances</t>
  </si>
  <si>
    <t>Cash Flow From Operating Activity</t>
  </si>
  <si>
    <t>Cash Flow From Investing Acitivity</t>
  </si>
  <si>
    <t>Redemp and Cancellation of Shares</t>
  </si>
  <si>
    <t>Cash Flow From Financing Activity</t>
  </si>
  <si>
    <t>Net Cash flow</t>
  </si>
  <si>
    <t>Gross Profit Margin</t>
  </si>
  <si>
    <t>Profitability Ratios</t>
  </si>
  <si>
    <t>Return on Assets</t>
  </si>
  <si>
    <t>Solvency Ratios</t>
  </si>
  <si>
    <t xml:space="preserve">Debt/Equity </t>
  </si>
  <si>
    <t>Debt Ratio</t>
  </si>
  <si>
    <t>Interest Coverage Ratio</t>
  </si>
  <si>
    <t>Efficiency Ratios</t>
  </si>
  <si>
    <t>Asset Turnover</t>
  </si>
  <si>
    <t>Payable Turnover</t>
  </si>
  <si>
    <t>Fixed Asset Turnover</t>
  </si>
  <si>
    <t>Liquidity Ratios</t>
  </si>
  <si>
    <t>Current Ratio</t>
  </si>
  <si>
    <t>Quick Ratio</t>
  </si>
  <si>
    <t>Cash Ratio</t>
  </si>
  <si>
    <t>Market Ratios</t>
  </si>
  <si>
    <t>Earning per Share</t>
  </si>
  <si>
    <t>P/E ratio</t>
  </si>
  <si>
    <t>Book Value per Share</t>
  </si>
  <si>
    <t>Operating Cycle Ratios</t>
  </si>
  <si>
    <t>(in days)</t>
  </si>
  <si>
    <t>Inventory Days</t>
  </si>
  <si>
    <t>Receivable Days</t>
  </si>
  <si>
    <t>Payable Days</t>
  </si>
  <si>
    <t>Cash Conversion Cycle</t>
  </si>
  <si>
    <t>Receivables Turnover</t>
  </si>
  <si>
    <t>3/31/2026</t>
  </si>
  <si>
    <t>3/31/2025</t>
  </si>
  <si>
    <t>3/31/2024</t>
  </si>
  <si>
    <t>3/31/2023</t>
  </si>
  <si>
    <t>Current Assets</t>
  </si>
  <si>
    <t>Total non-current assets</t>
  </si>
  <si>
    <t>Total Liabilities Net Minority Interest</t>
  </si>
  <si>
    <t>Current Liabilities</t>
  </si>
  <si>
    <t>Total Non Current Liabilities Net Minority Interest</t>
  </si>
  <si>
    <t>Total Equity Gross Minority Interest</t>
  </si>
  <si>
    <t>Stockholders' Equity</t>
  </si>
  <si>
    <t>Minority Interest</t>
  </si>
  <si>
    <t>Total Capitalization</t>
  </si>
  <si>
    <t>Common Stock Equity</t>
  </si>
  <si>
    <t>Capital Lease Obligations</t>
  </si>
  <si>
    <t>Net Tangible Assets</t>
  </si>
  <si>
    <t>Invested Capital</t>
  </si>
  <si>
    <t>Tangible Book Value</t>
  </si>
  <si>
    <t>Total Debt</t>
  </si>
  <si>
    <t>Share Issued</t>
  </si>
  <si>
    <t>Ordinary Shares Number</t>
  </si>
  <si>
    <t>Breakdown</t>
  </si>
  <si>
    <t>Numbers</t>
  </si>
  <si>
    <t>Current Liablitity</t>
  </si>
  <si>
    <t>Non-Current Liability</t>
  </si>
  <si>
    <t>Trade payables</t>
  </si>
  <si>
    <t>Trade Payables</t>
  </si>
  <si>
    <t>Equity</t>
  </si>
  <si>
    <t>Debt</t>
  </si>
  <si>
    <t>Rf</t>
  </si>
  <si>
    <t>Rm</t>
  </si>
  <si>
    <t>Beta</t>
  </si>
  <si>
    <t>Tax Rate</t>
  </si>
  <si>
    <t>kd</t>
  </si>
  <si>
    <t>dw</t>
  </si>
  <si>
    <t>ew</t>
  </si>
  <si>
    <t>ke</t>
  </si>
  <si>
    <t>wacc</t>
  </si>
  <si>
    <t>ERP</t>
  </si>
  <si>
    <t>Depricitaion</t>
  </si>
  <si>
    <t>Capex</t>
  </si>
  <si>
    <t>Non-Cash WC</t>
  </si>
  <si>
    <t>FCF</t>
  </si>
  <si>
    <t>Growth rate</t>
  </si>
  <si>
    <t>WACC</t>
  </si>
  <si>
    <t>Terminal Value</t>
  </si>
  <si>
    <t>Pv of FCF</t>
  </si>
  <si>
    <t>PV of Tv</t>
  </si>
  <si>
    <t>Enterprise Value</t>
  </si>
  <si>
    <t>Discount Factor</t>
  </si>
  <si>
    <t>Equity Value</t>
  </si>
  <si>
    <t>No. of Shares</t>
  </si>
  <si>
    <t>Share Price</t>
  </si>
  <si>
    <t>Market Data</t>
  </si>
  <si>
    <t>Share price</t>
  </si>
  <si>
    <t>Share Outstanding</t>
  </si>
  <si>
    <t>Market Cap</t>
  </si>
  <si>
    <t>Financials</t>
  </si>
  <si>
    <t xml:space="preserve">Revenue </t>
  </si>
  <si>
    <t xml:space="preserve">EBIT </t>
  </si>
  <si>
    <t>Net Income</t>
  </si>
  <si>
    <t>Valuation</t>
  </si>
  <si>
    <t>EV/Revenue</t>
  </si>
  <si>
    <t>P/E</t>
  </si>
  <si>
    <t>Name</t>
  </si>
  <si>
    <t>EV/EBITDA</t>
  </si>
  <si>
    <t>ITC</t>
  </si>
  <si>
    <t>Hindustan Foods</t>
  </si>
  <si>
    <t>Godavari Bioref.</t>
  </si>
  <si>
    <t>Hind. Unilever Ltd</t>
  </si>
  <si>
    <t>High</t>
  </si>
  <si>
    <t>Third Quartile</t>
  </si>
  <si>
    <t>Median</t>
  </si>
  <si>
    <t>Average</t>
  </si>
  <si>
    <t>First Quartile</t>
  </si>
  <si>
    <t>Low</t>
  </si>
  <si>
    <t>Implied Enterprise Value</t>
  </si>
  <si>
    <t>Net Debt</t>
  </si>
  <si>
    <t>Implied Market Value</t>
  </si>
  <si>
    <t>Shares Outstanding</t>
  </si>
  <si>
    <t>Implied Value per Share</t>
  </si>
  <si>
    <t xml:space="preserve">Net Debt </t>
  </si>
  <si>
    <t>other assets</t>
  </si>
  <si>
    <t>ITC LTD</t>
  </si>
  <si>
    <t xml:space="preserve"> profit and loss </t>
  </si>
  <si>
    <t>Balance sheet</t>
  </si>
  <si>
    <t>other ssets</t>
  </si>
  <si>
    <t>HINDUSTAN FOODS LTD</t>
  </si>
  <si>
    <t>Total Liabilities</t>
  </si>
  <si>
    <t>GODAVARI BIOREFINERIES LTD</t>
  </si>
  <si>
    <t>Revenue</t>
  </si>
  <si>
    <t>YOY Growth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</si>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</sst>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0;\(#,##0.0\)\,0"/>
    <numFmt numFmtId="167" formatCode="#,##0.00;\(#,##0.0\)"/>
    <numFmt numFmtId="168" formatCode="mmm/yy\ &quot;A&quot;"/>
    <numFmt numFmtId="169" formatCode="mmm/yy\ &quot;E&quot;"/>
    <numFmt numFmtId="170" formatCode="#,##0.;\(#,##0\)"/>
    <numFmt numFmtId="171" formatCode="0.0"/>
    <numFmt numFmtId="172" formatCode="0.0000"/>
    <numFmt numFmtId="173" formatCode="#,##0.0;\(#,##0.0\)"/>
    <numFmt numFmtId="174" formatCode="#,##0.0;\(#,##0.00\)"/>
    <numFmt numFmtId="175" formatCode="&quot;₹&quot;\ #,##0.00"/>
    <numFmt numFmtId="176" formatCode="0.00\ &quot;x&quot;"/>
    <numFmt numFmtId="177" formatCode="_ * #,##0.00000_ ;_ * \-#,##0.00000_ ;_ * &quot;-&quot;??_ ;_ @_ 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Calibri"/>
      <family val="2"/>
      <scheme val="minor"/>
    </font>
    <font>
      <b/>
      <sz val="11"/>
      <color rgb="FF22222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22222F"/>
      <name val="Arial"/>
      <family val="2"/>
    </font>
    <font>
      <sz val="8"/>
      <color rgb="FF212529"/>
      <name val="Arial"/>
      <family val="2"/>
    </font>
    <font>
      <sz val="11"/>
      <color theme="2" tint="-0.499984740745262"/>
      <name val="Calibri"/>
      <family val="2"/>
      <scheme val="minor"/>
    </font>
    <font>
      <sz val="11"/>
      <color rgb="FF22222F"/>
      <name val="Arial"/>
      <family val="2"/>
    </font>
    <font>
      <sz val="11"/>
      <color theme="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mediumGray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medium">
        <color rgb="FFDBE4F0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9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1" fillId="0" borderId="0" xfId="0" applyFont="1"/>
    <xf numFmtId="0" fontId="1" fillId="7" borderId="0" xfId="0" applyFont="1" applyFill="1"/>
    <xf numFmtId="0" fontId="0" fillId="7" borderId="0" xfId="0" applyFill="1"/>
    <xf numFmtId="43" fontId="0" fillId="0" borderId="0" xfId="0" applyNumberFormat="1"/>
    <xf numFmtId="166" fontId="0" fillId="0" borderId="0" xfId="0" applyNumberFormat="1"/>
    <xf numFmtId="0" fontId="10" fillId="8" borderId="0" xfId="0" applyFont="1" applyFill="1"/>
    <xf numFmtId="166" fontId="10" fillId="8" borderId="0" xfId="0" applyNumberFormat="1" applyFont="1" applyFill="1" applyAlignment="1">
      <alignment horizontal="left" indent="11"/>
    </xf>
    <xf numFmtId="9" fontId="10" fillId="8" borderId="0" xfId="6" applyFont="1" applyFill="1"/>
    <xf numFmtId="9" fontId="10" fillId="8" borderId="0" xfId="6" applyFont="1" applyFill="1" applyAlignment="1">
      <alignment horizontal="left" indent="11"/>
    </xf>
    <xf numFmtId="0" fontId="0" fillId="0" borderId="1" xfId="0" applyBorder="1"/>
    <xf numFmtId="166" fontId="0" fillId="0" borderId="1" xfId="0" applyNumberFormat="1" applyBorder="1"/>
    <xf numFmtId="17" fontId="5" fillId="10" borderId="0" xfId="0" applyNumberFormat="1" applyFont="1" applyFill="1"/>
    <xf numFmtId="0" fontId="0" fillId="11" borderId="0" xfId="0" applyFill="1"/>
    <xf numFmtId="9" fontId="10" fillId="11" borderId="0" xfId="6" applyFont="1" applyFill="1"/>
    <xf numFmtId="167" fontId="0" fillId="11" borderId="0" xfId="0" applyNumberFormat="1" applyFill="1"/>
    <xf numFmtId="167" fontId="0" fillId="11" borderId="1" xfId="0" applyNumberFormat="1" applyFill="1" applyBorder="1"/>
    <xf numFmtId="0" fontId="2" fillId="6" borderId="0" xfId="0" applyFont="1" applyFill="1"/>
    <xf numFmtId="168" fontId="2" fillId="6" borderId="0" xfId="0" applyNumberFormat="1" applyFont="1" applyFill="1"/>
    <xf numFmtId="169" fontId="2" fillId="6" borderId="0" xfId="0" applyNumberFormat="1" applyFont="1" applyFill="1"/>
    <xf numFmtId="43" fontId="1" fillId="0" borderId="1" xfId="1" applyFont="1" applyFill="1" applyBorder="1"/>
    <xf numFmtId="0" fontId="1" fillId="0" borderId="1" xfId="0" applyFont="1" applyBorder="1"/>
    <xf numFmtId="43" fontId="1" fillId="0" borderId="2" xfId="1" applyFont="1" applyFill="1" applyBorder="1"/>
    <xf numFmtId="0" fontId="1" fillId="0" borderId="2" xfId="0" applyFont="1" applyBorder="1"/>
    <xf numFmtId="167" fontId="0" fillId="9" borderId="0" xfId="0" applyNumberFormat="1" applyFill="1"/>
    <xf numFmtId="167" fontId="1" fillId="9" borderId="1" xfId="0" applyNumberFormat="1" applyFont="1" applyFill="1" applyBorder="1"/>
    <xf numFmtId="167" fontId="1" fillId="9" borderId="2" xfId="0" applyNumberFormat="1" applyFont="1" applyFill="1" applyBorder="1"/>
    <xf numFmtId="0" fontId="11" fillId="13" borderId="3" xfId="0" applyFont="1" applyFill="1" applyBorder="1" applyAlignment="1">
      <alignment horizontal="left" vertical="center"/>
    </xf>
    <xf numFmtId="3" fontId="11" fillId="13" borderId="3" xfId="0" applyNumberFormat="1" applyFont="1" applyFill="1" applyBorder="1" applyAlignment="1">
      <alignment horizontal="right" vertical="center" wrapText="1"/>
    </xf>
    <xf numFmtId="0" fontId="12" fillId="13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right" vertical="center" wrapText="1"/>
    </xf>
    <xf numFmtId="3" fontId="12" fillId="13" borderId="0" xfId="0" applyNumberFormat="1" applyFont="1" applyFill="1" applyAlignment="1">
      <alignment horizontal="right" vertical="center" wrapText="1"/>
    </xf>
    <xf numFmtId="0" fontId="11" fillId="13" borderId="3" xfId="0" applyFont="1" applyFill="1" applyBorder="1" applyAlignment="1">
      <alignment horizontal="right" vertical="center" wrapText="1"/>
    </xf>
    <xf numFmtId="0" fontId="12" fillId="12" borderId="0" xfId="0" applyFont="1" applyFill="1" applyAlignment="1">
      <alignment horizontal="left" vertical="center"/>
    </xf>
    <xf numFmtId="0" fontId="12" fillId="12" borderId="0" xfId="0" applyFont="1" applyFill="1" applyAlignment="1">
      <alignment horizontal="right" vertical="center" wrapText="1"/>
    </xf>
    <xf numFmtId="3" fontId="12" fillId="12" borderId="0" xfId="0" applyNumberFormat="1" applyFont="1" applyFill="1" applyAlignment="1">
      <alignment horizontal="right" vertical="center" wrapText="1"/>
    </xf>
    <xf numFmtId="0" fontId="11" fillId="13" borderId="3" xfId="0" applyFont="1" applyFill="1" applyBorder="1" applyAlignment="1">
      <alignment horizontal="left" vertical="center" indent="1"/>
    </xf>
    <xf numFmtId="0" fontId="11" fillId="12" borderId="3" xfId="0" applyFont="1" applyFill="1" applyBorder="1" applyAlignment="1">
      <alignment horizontal="left" vertical="center" indent="1"/>
    </xf>
    <xf numFmtId="0" fontId="11" fillId="12" borderId="3" xfId="0" applyFont="1" applyFill="1" applyBorder="1" applyAlignment="1">
      <alignment horizontal="right" vertical="center" wrapText="1"/>
    </xf>
    <xf numFmtId="3" fontId="11" fillId="12" borderId="3" xfId="0" applyNumberFormat="1" applyFont="1" applyFill="1" applyBorder="1" applyAlignment="1">
      <alignment horizontal="right" vertical="center" wrapText="1"/>
    </xf>
    <xf numFmtId="0" fontId="1" fillId="0" borderId="4" xfId="0" applyFont="1" applyBorder="1"/>
    <xf numFmtId="0" fontId="14" fillId="12" borderId="0" xfId="0" applyFont="1" applyFill="1" applyAlignment="1">
      <alignment horizontal="left" vertical="center"/>
    </xf>
    <xf numFmtId="0" fontId="14" fillId="12" borderId="5" xfId="0" applyFont="1" applyFill="1" applyBorder="1" applyAlignment="1">
      <alignment horizontal="left" vertical="center"/>
    </xf>
    <xf numFmtId="0" fontId="15" fillId="12" borderId="0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170" fontId="0" fillId="0" borderId="0" xfId="0" applyNumberFormat="1"/>
    <xf numFmtId="170" fontId="1" fillId="0" borderId="4" xfId="0" applyNumberFormat="1" applyFont="1" applyBorder="1"/>
    <xf numFmtId="170" fontId="0" fillId="9" borderId="0" xfId="0" applyNumberFormat="1" applyFill="1"/>
    <xf numFmtId="170" fontId="1" fillId="9" borderId="4" xfId="0" applyNumberFormat="1" applyFont="1" applyFill="1" applyBorder="1"/>
    <xf numFmtId="0" fontId="15" fillId="10" borderId="6" xfId="0" applyFont="1" applyFill="1" applyBorder="1" applyAlignment="1">
      <alignment horizontal="left" vertical="center"/>
    </xf>
    <xf numFmtId="170" fontId="1" fillId="0" borderId="6" xfId="0" applyNumberFormat="1" applyFont="1" applyBorder="1"/>
    <xf numFmtId="0" fontId="17" fillId="0" borderId="0" xfId="0" applyFont="1"/>
    <xf numFmtId="0" fontId="16" fillId="0" borderId="0" xfId="0" applyFont="1"/>
    <xf numFmtId="10" fontId="0" fillId="0" borderId="0" xfId="0" applyNumberFormat="1"/>
    <xf numFmtId="0" fontId="0" fillId="0" borderId="0" xfId="0" applyNumberFormat="1"/>
    <xf numFmtId="2" fontId="0" fillId="0" borderId="0" xfId="0" applyNumberFormat="1"/>
    <xf numFmtId="0" fontId="1" fillId="0" borderId="2" xfId="0" applyNumberFormat="1" applyFont="1" applyBorder="1"/>
    <xf numFmtId="0" fontId="1" fillId="0" borderId="1" xfId="0" applyNumberFormat="1" applyFont="1" applyBorder="1"/>
    <xf numFmtId="3" fontId="0" fillId="0" borderId="0" xfId="0" applyNumberFormat="1"/>
    <xf numFmtId="4" fontId="0" fillId="0" borderId="0" xfId="0" applyNumberFormat="1"/>
    <xf numFmtId="0" fontId="11" fillId="13" borderId="0" xfId="0" applyFont="1" applyFill="1" applyAlignment="1">
      <alignment horizontal="left" vertical="center"/>
    </xf>
    <xf numFmtId="3" fontId="11" fillId="12" borderId="0" xfId="0" applyNumberFormat="1" applyFont="1" applyFill="1" applyAlignment="1">
      <alignment horizontal="right" vertical="center" wrapText="1"/>
    </xf>
    <xf numFmtId="0" fontId="0" fillId="14" borderId="0" xfId="0" applyFill="1"/>
    <xf numFmtId="10" fontId="0" fillId="9" borderId="0" xfId="0" applyNumberFormat="1" applyFill="1"/>
    <xf numFmtId="0" fontId="0" fillId="9" borderId="0" xfId="0" applyFill="1"/>
    <xf numFmtId="2" fontId="0" fillId="9" borderId="0" xfId="0" applyNumberFormat="1" applyFill="1"/>
    <xf numFmtId="3" fontId="18" fillId="0" borderId="0" xfId="0" applyNumberFormat="1" applyFont="1"/>
    <xf numFmtId="9" fontId="0" fillId="0" borderId="0" xfId="6" applyFont="1"/>
    <xf numFmtId="10" fontId="19" fillId="0" borderId="0" xfId="0" applyNumberFormat="1" applyFont="1"/>
    <xf numFmtId="171" fontId="0" fillId="0" borderId="0" xfId="0" applyNumberFormat="1"/>
    <xf numFmtId="172" fontId="0" fillId="0" borderId="0" xfId="0" applyNumberFormat="1"/>
    <xf numFmtId="9" fontId="0" fillId="0" borderId="0" xfId="0" applyNumberFormat="1"/>
    <xf numFmtId="10" fontId="0" fillId="0" borderId="0" xfId="6" applyNumberFormat="1" applyFont="1"/>
    <xf numFmtId="0" fontId="1" fillId="0" borderId="6" xfId="0" applyFont="1" applyBorder="1"/>
    <xf numFmtId="0" fontId="1" fillId="11" borderId="6" xfId="0" applyFont="1" applyFill="1" applyBorder="1"/>
    <xf numFmtId="10" fontId="1" fillId="11" borderId="6" xfId="0" applyNumberFormat="1" applyFont="1" applyFill="1" applyBorder="1"/>
    <xf numFmtId="10" fontId="20" fillId="10" borderId="0" xfId="0" applyNumberFormat="1" applyFont="1" applyFill="1"/>
    <xf numFmtId="10" fontId="20" fillId="0" borderId="0" xfId="0" applyNumberFormat="1" applyFont="1"/>
    <xf numFmtId="0" fontId="20" fillId="0" borderId="0" xfId="0" applyFont="1"/>
    <xf numFmtId="167" fontId="0" fillId="0" borderId="0" xfId="0" applyNumberFormat="1"/>
    <xf numFmtId="173" fontId="0" fillId="0" borderId="0" xfId="0" applyNumberFormat="1"/>
    <xf numFmtId="174" fontId="1" fillId="0" borderId="6" xfId="0" applyNumberFormat="1" applyFont="1" applyBorder="1"/>
    <xf numFmtId="0" fontId="0" fillId="0" borderId="0" xfId="0" applyFont="1"/>
    <xf numFmtId="2" fontId="0" fillId="0" borderId="0" xfId="0" applyNumberFormat="1" applyFont="1"/>
    <xf numFmtId="171" fontId="0" fillId="0" borderId="0" xfId="0" applyNumberFormat="1" applyFont="1"/>
    <xf numFmtId="171" fontId="1" fillId="0" borderId="0" xfId="0" applyNumberFormat="1" applyFont="1"/>
    <xf numFmtId="6" fontId="20" fillId="10" borderId="0" xfId="0" applyNumberFormat="1" applyFont="1" applyFill="1"/>
    <xf numFmtId="8" fontId="20" fillId="10" borderId="0" xfId="0" applyNumberFormat="1" applyFont="1" applyFill="1"/>
    <xf numFmtId="0" fontId="0" fillId="15" borderId="0" xfId="0" applyFill="1"/>
    <xf numFmtId="0" fontId="5" fillId="15" borderId="0" xfId="0" applyFont="1" applyFill="1"/>
    <xf numFmtId="0" fontId="2" fillId="15" borderId="0" xfId="0" applyFont="1" applyFill="1"/>
    <xf numFmtId="0" fontId="2" fillId="15" borderId="0" xfId="0" applyFont="1" applyFill="1" applyAlignment="1">
      <alignment horizontal="center"/>
    </xf>
    <xf numFmtId="0" fontId="0" fillId="12" borderId="0" xfId="0" applyFill="1"/>
    <xf numFmtId="0" fontId="5" fillId="15" borderId="0" xfId="0" applyFont="1" applyFill="1" applyBorder="1"/>
    <xf numFmtId="0" fontId="5" fillId="15" borderId="7" xfId="0" applyFont="1" applyFill="1" applyBorder="1"/>
    <xf numFmtId="0" fontId="4" fillId="13" borderId="0" xfId="2" applyFill="1" applyAlignment="1" applyProtection="1">
      <alignment horizontal="left" vertical="center"/>
    </xf>
    <xf numFmtId="0" fontId="21" fillId="13" borderId="0" xfId="0" applyFont="1" applyFill="1" applyAlignment="1">
      <alignment horizontal="right" vertical="center" wrapText="1"/>
    </xf>
    <xf numFmtId="0" fontId="11" fillId="12" borderId="0" xfId="0" applyFont="1" applyFill="1" applyAlignment="1">
      <alignment horizontal="left" vertical="center" indent="1"/>
    </xf>
    <xf numFmtId="0" fontId="4" fillId="12" borderId="0" xfId="2" applyFill="1" applyAlignment="1" applyProtection="1">
      <alignment horizontal="left" vertical="center"/>
    </xf>
    <xf numFmtId="0" fontId="11" fillId="12" borderId="0" xfId="0" applyFont="1" applyFill="1" applyAlignment="1">
      <alignment horizontal="right" vertical="center" wrapText="1"/>
    </xf>
    <xf numFmtId="0" fontId="11" fillId="13" borderId="0" xfId="0" applyFont="1" applyFill="1" applyAlignment="1">
      <alignment horizontal="left" vertical="center" indent="1"/>
    </xf>
    <xf numFmtId="0" fontId="11" fillId="13" borderId="0" xfId="0" applyFont="1" applyFill="1" applyAlignment="1">
      <alignment horizontal="right" vertical="center" wrapText="1"/>
    </xf>
    <xf numFmtId="0" fontId="0" fillId="0" borderId="0" xfId="0" applyAlignment="1"/>
    <xf numFmtId="0" fontId="1" fillId="0" borderId="2" xfId="0" applyFont="1" applyFill="1" applyBorder="1"/>
    <xf numFmtId="0" fontId="0" fillId="0" borderId="0" xfId="0" applyAlignment="1">
      <alignment horizontal="right"/>
    </xf>
    <xf numFmtId="0" fontId="2" fillId="15" borderId="7" xfId="0" applyFont="1" applyFill="1" applyBorder="1"/>
    <xf numFmtId="174" fontId="0" fillId="0" borderId="0" xfId="0" applyNumberFormat="1"/>
    <xf numFmtId="0" fontId="0" fillId="0" borderId="0" xfId="0" applyNumberFormat="1" applyBorder="1"/>
    <xf numFmtId="0" fontId="22" fillId="0" borderId="0" xfId="0" applyNumberFormat="1" applyFont="1" applyBorder="1" applyAlignment="1"/>
    <xf numFmtId="0" fontId="0" fillId="0" borderId="0" xfId="0" applyNumberFormat="1" applyBorder="1" applyAlignment="1"/>
    <xf numFmtId="0" fontId="1" fillId="9" borderId="0" xfId="0" applyFont="1" applyFill="1"/>
    <xf numFmtId="171" fontId="1" fillId="9" borderId="0" xfId="0" applyNumberFormat="1" applyFont="1" applyFill="1"/>
    <xf numFmtId="176" fontId="0" fillId="0" borderId="0" xfId="0" applyNumberFormat="1" applyBorder="1" applyAlignment="1"/>
    <xf numFmtId="0" fontId="0" fillId="0" borderId="9" xfId="0" applyBorder="1"/>
    <xf numFmtId="174" fontId="22" fillId="0" borderId="9" xfId="0" applyNumberFormat="1" applyFont="1" applyBorder="1" applyAlignment="1"/>
    <xf numFmtId="174" fontId="0" fillId="0" borderId="9" xfId="0" applyNumberFormat="1" applyBorder="1" applyAlignment="1"/>
    <xf numFmtId="174" fontId="22" fillId="0" borderId="9" xfId="1" applyNumberFormat="1" applyFont="1" applyBorder="1" applyAlignment="1"/>
    <xf numFmtId="176" fontId="0" fillId="0" borderId="9" xfId="0" applyNumberFormat="1" applyBorder="1" applyAlignment="1"/>
    <xf numFmtId="0" fontId="0" fillId="9" borderId="9" xfId="0" applyFill="1" applyBorder="1"/>
    <xf numFmtId="176" fontId="0" fillId="9" borderId="9" xfId="0" applyNumberFormat="1" applyFill="1" applyBorder="1"/>
    <xf numFmtId="176" fontId="1" fillId="9" borderId="9" xfId="0" applyNumberFormat="1" applyFont="1" applyFill="1" applyBorder="1"/>
    <xf numFmtId="177" fontId="0" fillId="0" borderId="0" xfId="1" applyNumberFormat="1" applyFont="1" applyBorder="1"/>
    <xf numFmtId="0" fontId="2" fillId="10" borderId="0" xfId="0" applyFont="1" applyFill="1" applyAlignment="1"/>
    <xf numFmtId="168" fontId="2" fillId="10" borderId="0" xfId="0" applyNumberFormat="1" applyFont="1" applyFill="1"/>
    <xf numFmtId="0" fontId="1" fillId="10" borderId="0" xfId="0" applyFont="1" applyFill="1" applyAlignment="1"/>
    <xf numFmtId="169" fontId="1" fillId="10" borderId="0" xfId="0" applyNumberFormat="1" applyFont="1" applyFill="1"/>
    <xf numFmtId="168" fontId="2" fillId="15" borderId="0" xfId="0" applyNumberFormat="1" applyFont="1" applyFill="1"/>
    <xf numFmtId="43" fontId="0" fillId="0" borderId="0" xfId="0" applyNumberFormat="1" applyAlignment="1">
      <alignment horizontal="left"/>
    </xf>
    <xf numFmtId="10" fontId="0" fillId="0" borderId="0" xfId="6" applyNumberFormat="1" applyFont="1" applyAlignment="1">
      <alignment horizontal="right"/>
    </xf>
    <xf numFmtId="43" fontId="3" fillId="0" borderId="0" xfId="1" applyFont="1" applyFill="1" applyBorder="1"/>
    <xf numFmtId="43" fontId="0" fillId="0" borderId="0" xfId="1" applyFont="1" applyFill="1" applyBorder="1"/>
    <xf numFmtId="17" fontId="2" fillId="15" borderId="0" xfId="0" applyNumberFormat="1" applyFont="1" applyFill="1"/>
    <xf numFmtId="17" fontId="2" fillId="10" borderId="0" xfId="0" applyNumberFormat="1" applyFont="1" applyFill="1"/>
    <xf numFmtId="17" fontId="0" fillId="0" borderId="0" xfId="0" applyNumberFormat="1"/>
    <xf numFmtId="17" fontId="0" fillId="0" borderId="0" xfId="0" applyNumberFormat="1" applyAlignment="1">
      <alignment horizontal="right"/>
    </xf>
    <xf numFmtId="175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7" fontId="2" fillId="15" borderId="0" xfId="0" applyNumberFormat="1" applyFont="1" applyFill="1" applyAlignment="1">
      <alignment horizontal="center" vertical="top"/>
    </xf>
    <xf numFmtId="17" fontId="2" fillId="15" borderId="0" xfId="0" applyNumberFormat="1" applyFont="1" applyFill="1" applyAlignment="1">
      <alignment horizontal="righ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5" fillId="15" borderId="8" xfId="0" applyFont="1" applyFill="1" applyBorder="1" applyAlignment="1">
      <alignment horizontal="center"/>
    </xf>
    <xf numFmtId="10" fontId="1" fillId="0" borderId="0" xfId="0" applyNumberFormat="1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8000"/>
      <color rgb="FF336600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Trend</a:t>
            </a:r>
            <a:r>
              <a:rPr lang="en-IN" baseline="0"/>
              <a:t>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507704729444262E-2"/>
          <c:y val="0.14029831392520103"/>
          <c:w val="0.89523313420328388"/>
          <c:h val="0.7710257716559572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'Trend Analysis'!$B$4:$B$18</c:f>
              <c:numCache>
                <c:formatCode>mmm/yy\ "A"</c:formatCode>
                <c:ptCount val="15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43921</c:v>
                </c:pt>
                <c:pt idx="4">
                  <c:v>44286</c:v>
                </c:pt>
                <c:pt idx="5">
                  <c:v>44651</c:v>
                </c:pt>
                <c:pt idx="6">
                  <c:v>45016</c:v>
                </c:pt>
                <c:pt idx="7">
                  <c:v>45382</c:v>
                </c:pt>
                <c:pt idx="8">
                  <c:v>45747</c:v>
                </c:pt>
                <c:pt idx="9">
                  <c:v>46112</c:v>
                </c:pt>
                <c:pt idx="10" formatCode="mmm/yy\ &quot;E&quot;">
                  <c:v>46477</c:v>
                </c:pt>
                <c:pt idx="11" formatCode="mmm/yy\ &quot;E&quot;">
                  <c:v>46842</c:v>
                </c:pt>
                <c:pt idx="12" formatCode="mmm/yy\ &quot;E&quot;">
                  <c:v>47207</c:v>
                </c:pt>
                <c:pt idx="13" formatCode="mmm/yy\ &quot;E&quot;">
                  <c:v>47572</c:v>
                </c:pt>
                <c:pt idx="14" formatCode="mmm/yy\ &quot;E&quot;">
                  <c:v>47937</c:v>
                </c:pt>
              </c:numCache>
            </c:numRef>
          </c:cat>
          <c:val>
            <c:numRef>
              <c:f>'Trend Analysis'!$D$4:$D$18</c:f>
              <c:numCache>
                <c:formatCode>0.00%</c:formatCode>
                <c:ptCount val="15"/>
                <c:pt idx="0" formatCode="General">
                  <c:v>0</c:v>
                </c:pt>
                <c:pt idx="1">
                  <c:v>7.1859357095470713E-2</c:v>
                </c:pt>
                <c:pt idx="2">
                  <c:v>0.10592207061471375</c:v>
                </c:pt>
                <c:pt idx="3">
                  <c:v>1.2032561689137624E-2</c:v>
                </c:pt>
                <c:pt idx="4">
                  <c:v>0.18211296282331649</c:v>
                </c:pt>
                <c:pt idx="5">
                  <c:v>0.11520796121459556</c:v>
                </c:pt>
                <c:pt idx="6">
                  <c:v>0.15509285741524617</c:v>
                </c:pt>
                <c:pt idx="7">
                  <c:v>2.1723341036645756E-2</c:v>
                </c:pt>
                <c:pt idx="8">
                  <c:v>-9.1766834690448496E-3</c:v>
                </c:pt>
                <c:pt idx="9">
                  <c:v>5.1200104356900603E-2</c:v>
                </c:pt>
                <c:pt idx="10">
                  <c:v>0.10104864548812241</c:v>
                </c:pt>
                <c:pt idx="11">
                  <c:v>5.9167301161499972E-2</c:v>
                </c:pt>
                <c:pt idx="12">
                  <c:v>5.3127023512476862E-2</c:v>
                </c:pt>
                <c:pt idx="13">
                  <c:v>4.9930512767451564E-2</c:v>
                </c:pt>
                <c:pt idx="14">
                  <c:v>3.6116025145983464E-2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75-4695-8E79-7E4B0D5B23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6559632"/>
        <c:axId val="966564208"/>
      </c:lineChart>
      <c:catAx>
        <c:axId val="96655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layout>
            <c:manualLayout>
              <c:xMode val="edge"/>
              <c:yMode val="edge"/>
              <c:x val="0.47135384694700999"/>
              <c:y val="0.91132408558115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/yy\ 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64208"/>
        <c:crosses val="autoZero"/>
        <c:auto val="0"/>
        <c:lblAlgn val="ctr"/>
        <c:lblOffset val="100"/>
        <c:noMultiLvlLbl val="0"/>
      </c:catAx>
      <c:valAx>
        <c:axId val="96656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YOY</a:t>
                </a:r>
                <a:r>
                  <a:rPr lang="en-IN" baseline="0"/>
                  <a:t> Growth</a:t>
                </a:r>
              </a:p>
              <a:p>
                <a:pPr>
                  <a:defRPr/>
                </a:pP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5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481398</xdr:colOff>
      <xdr:row>1</xdr:row>
      <xdr:rowOff>17161</xdr:rowOff>
    </xdr:from>
    <xdr:to>
      <xdr:col>18</xdr:col>
      <xdr:colOff>583513</xdr:colOff>
      <xdr:row>20</xdr:row>
      <xdr:rowOff>171621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1640625" defaultRowHeight="14.5" x14ac:dyDescent="0.35"/>
  <cols>
    <col min="1" max="1" width="20.6328125" style="6" customWidth="1"/>
    <col min="2" max="6" width="13.453125" style="6" customWidth="1"/>
    <col min="7" max="7" width="14.81640625" style="6" bestFit="1" customWidth="1"/>
    <col min="8" max="11" width="13.453125" style="6" customWidth="1"/>
    <col min="12" max="12" width="13.36328125" style="6" customWidth="1"/>
    <col min="13" max="14" width="12.1796875" style="6" customWidth="1"/>
    <col min="15" max="16384" width="8.81640625" style="6"/>
  </cols>
  <sheetData>
    <row r="1" spans="1:14" s="8" customFormat="1" x14ac:dyDescent="0.35">
      <c r="A1" s="8" t="str">
        <f>'Data Sheet'!B1</f>
        <v>HINDUSTAN UNILEVER LTD</v>
      </c>
      <c r="H1" t="str">
        <f>UPDATE</f>
        <v/>
      </c>
      <c r="J1" s="3"/>
      <c r="K1" s="3"/>
      <c r="M1" s="8" t="s">
        <v>1</v>
      </c>
    </row>
    <row r="3" spans="1:14" s="2" customFormat="1" x14ac:dyDescent="0.35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5">
      <c r="A4" s="8" t="s">
        <v>6</v>
      </c>
      <c r="B4" s="1">
        <f>'Data Sheet'!B17</f>
        <v>33162</v>
      </c>
      <c r="C4" s="1">
        <f>'Data Sheet'!C17</f>
        <v>35545</v>
      </c>
      <c r="D4" s="1">
        <f>'Data Sheet'!D17</f>
        <v>39310</v>
      </c>
      <c r="E4" s="1">
        <f>'Data Sheet'!E17</f>
        <v>39783</v>
      </c>
      <c r="F4" s="1">
        <f>'Data Sheet'!F17</f>
        <v>47028</v>
      </c>
      <c r="G4" s="1">
        <f>'Data Sheet'!G17</f>
        <v>52446</v>
      </c>
      <c r="H4" s="1">
        <f>'Data Sheet'!H17</f>
        <v>60580</v>
      </c>
      <c r="I4" s="1">
        <f>'Data Sheet'!I17</f>
        <v>61896</v>
      </c>
      <c r="J4" s="1">
        <f>'Data Sheet'!J17</f>
        <v>61328</v>
      </c>
      <c r="K4" s="1">
        <f>'Data Sheet'!K17</f>
        <v>64468</v>
      </c>
      <c r="L4" s="1">
        <f>SUM(Quarters!H4:K4)</f>
        <v>65225</v>
      </c>
      <c r="M4" s="1">
        <f>$K4+M23*K4</f>
        <v>67768.768327680664</v>
      </c>
      <c r="N4" s="1">
        <f>$K4+N23*L4</f>
        <v>65834.540816360255</v>
      </c>
    </row>
    <row r="5" spans="1:14" x14ac:dyDescent="0.35">
      <c r="A5" s="6" t="s">
        <v>7</v>
      </c>
      <c r="B5" s="9">
        <f>SUM('Data Sheet'!B18,'Data Sheet'!B20:B24, -1*'Data Sheet'!B19)</f>
        <v>26834</v>
      </c>
      <c r="C5" s="9">
        <f>SUM('Data Sheet'!C18,'Data Sheet'!C20:C24, -1*'Data Sheet'!C19)</f>
        <v>28046</v>
      </c>
      <c r="D5" s="9">
        <f>SUM('Data Sheet'!D18,'Data Sheet'!D20:D24, -1*'Data Sheet'!D19)</f>
        <v>30430</v>
      </c>
      <c r="E5" s="9">
        <f>SUM('Data Sheet'!E18,'Data Sheet'!E20:E24, -1*'Data Sheet'!E19)</f>
        <v>29922</v>
      </c>
      <c r="F5" s="9">
        <f>SUM('Data Sheet'!F18,'Data Sheet'!F20:F24, -1*'Data Sheet'!F19)</f>
        <v>35402</v>
      </c>
      <c r="G5" s="9">
        <f>SUM('Data Sheet'!G18,'Data Sheet'!G20:G24, -1*'Data Sheet'!G19)</f>
        <v>39589</v>
      </c>
      <c r="H5" s="9">
        <f>SUM('Data Sheet'!H18,'Data Sheet'!H20:H24, -1*'Data Sheet'!H19)</f>
        <v>46433</v>
      </c>
      <c r="I5" s="9">
        <f>SUM('Data Sheet'!I18,'Data Sheet'!I20:I24, -1*'Data Sheet'!I19)</f>
        <v>47237</v>
      </c>
      <c r="J5" s="9">
        <f>SUM('Data Sheet'!J18,'Data Sheet'!J20:J24, -1*'Data Sheet'!J19)</f>
        <v>46630</v>
      </c>
      <c r="K5" s="9">
        <f>SUM('Data Sheet'!K18,'Data Sheet'!K20:K24, -1*'Data Sheet'!K19)</f>
        <v>49429</v>
      </c>
      <c r="L5" s="9">
        <f>SUM(Quarters!H5:K5)</f>
        <v>50108</v>
      </c>
      <c r="M5" s="9">
        <f t="shared" ref="M5:N5" si="0">M4-M6</f>
        <v>51738.984220336126</v>
      </c>
      <c r="N5" s="9">
        <f t="shared" si="0"/>
        <v>50576.269394038784</v>
      </c>
    </row>
    <row r="6" spans="1:14" s="8" customFormat="1" x14ac:dyDescent="0.35">
      <c r="A6" s="8" t="s">
        <v>8</v>
      </c>
      <c r="B6" s="1">
        <f>B4-B5</f>
        <v>6328</v>
      </c>
      <c r="C6" s="1">
        <f t="shared" ref="C6:K6" si="1">C4-C5</f>
        <v>7499</v>
      </c>
      <c r="D6" s="1">
        <f t="shared" si="1"/>
        <v>8880</v>
      </c>
      <c r="E6" s="1">
        <f t="shared" si="1"/>
        <v>9861</v>
      </c>
      <c r="F6" s="1">
        <f t="shared" si="1"/>
        <v>11626</v>
      </c>
      <c r="G6" s="1">
        <f t="shared" si="1"/>
        <v>12857</v>
      </c>
      <c r="H6" s="1">
        <f t="shared" si="1"/>
        <v>14147</v>
      </c>
      <c r="I6" s="1">
        <f t="shared" si="1"/>
        <v>14659</v>
      </c>
      <c r="J6" s="1">
        <f t="shared" si="1"/>
        <v>14698</v>
      </c>
      <c r="K6" s="1">
        <f t="shared" si="1"/>
        <v>15039</v>
      </c>
      <c r="L6" s="1">
        <f>SUM(Quarters!H6:K6)</f>
        <v>15117</v>
      </c>
      <c r="M6" s="1">
        <f>M4*M24</f>
        <v>16029.784107344536</v>
      </c>
      <c r="N6" s="1">
        <f>N4*N24</f>
        <v>15258.271422321472</v>
      </c>
    </row>
    <row r="7" spans="1:14" x14ac:dyDescent="0.35">
      <c r="A7" s="6" t="s">
        <v>9</v>
      </c>
      <c r="B7" s="9">
        <f>'Data Sheet'!B25</f>
        <v>606</v>
      </c>
      <c r="C7" s="9">
        <f>'Data Sheet'!C25</f>
        <v>353</v>
      </c>
      <c r="D7" s="9">
        <f>'Data Sheet'!D25</f>
        <v>322</v>
      </c>
      <c r="E7" s="9">
        <f>'Data Sheet'!E25</f>
        <v>424</v>
      </c>
      <c r="F7" s="9">
        <f>'Data Sheet'!F25</f>
        <v>170</v>
      </c>
      <c r="G7" s="9">
        <f>'Data Sheet'!G25</f>
        <v>219</v>
      </c>
      <c r="H7" s="9">
        <f>'Data Sheet'!H25</f>
        <v>448</v>
      </c>
      <c r="I7" s="9">
        <f>'Data Sheet'!I25</f>
        <v>817</v>
      </c>
      <c r="J7" s="9">
        <f>'Data Sheet'!J25</f>
        <v>1355</v>
      </c>
      <c r="K7" s="9">
        <f>'Data Sheet'!K25</f>
        <v>4923</v>
      </c>
      <c r="L7" s="9">
        <f>SUM(Quarters!H7:K7)</f>
        <v>4894</v>
      </c>
      <c r="M7" s="9">
        <v>0</v>
      </c>
      <c r="N7" s="9">
        <v>0</v>
      </c>
    </row>
    <row r="8" spans="1:14" x14ac:dyDescent="0.35">
      <c r="A8" s="6" t="s">
        <v>10</v>
      </c>
      <c r="B8" s="9">
        <f>'Data Sheet'!B26</f>
        <v>432</v>
      </c>
      <c r="C8" s="9">
        <f>'Data Sheet'!C26</f>
        <v>520</v>
      </c>
      <c r="D8" s="9">
        <f>'Data Sheet'!D26</f>
        <v>565</v>
      </c>
      <c r="E8" s="9">
        <f>'Data Sheet'!E26</f>
        <v>1002</v>
      </c>
      <c r="F8" s="9">
        <f>'Data Sheet'!F26</f>
        <v>1074</v>
      </c>
      <c r="G8" s="9">
        <f>'Data Sheet'!G26</f>
        <v>1091</v>
      </c>
      <c r="H8" s="9">
        <f>'Data Sheet'!H26</f>
        <v>1137</v>
      </c>
      <c r="I8" s="9">
        <f>'Data Sheet'!I26</f>
        <v>1216</v>
      </c>
      <c r="J8" s="9">
        <f>'Data Sheet'!J26</f>
        <v>1253</v>
      </c>
      <c r="K8" s="9">
        <f>'Data Sheet'!K26</f>
        <v>1333</v>
      </c>
      <c r="L8" s="9">
        <f>SUM(Quarters!H8:K8)</f>
        <v>1368</v>
      </c>
      <c r="M8" s="9">
        <f>+$L8</f>
        <v>1368</v>
      </c>
      <c r="N8" s="9">
        <f>+$L8</f>
        <v>1368</v>
      </c>
    </row>
    <row r="9" spans="1:14" x14ac:dyDescent="0.35">
      <c r="A9" s="6" t="s">
        <v>11</v>
      </c>
      <c r="B9" s="9">
        <f>'Data Sheet'!B27</f>
        <v>35</v>
      </c>
      <c r="C9" s="9">
        <f>'Data Sheet'!C27</f>
        <v>26</v>
      </c>
      <c r="D9" s="9">
        <f>'Data Sheet'!D27</f>
        <v>33</v>
      </c>
      <c r="E9" s="9">
        <f>'Data Sheet'!E27</f>
        <v>118</v>
      </c>
      <c r="F9" s="9">
        <f>'Data Sheet'!F27</f>
        <v>117</v>
      </c>
      <c r="G9" s="9">
        <f>'Data Sheet'!G27</f>
        <v>106</v>
      </c>
      <c r="H9" s="9">
        <f>'Data Sheet'!H27</f>
        <v>114</v>
      </c>
      <c r="I9" s="9">
        <f>'Data Sheet'!I27</f>
        <v>334</v>
      </c>
      <c r="J9" s="9">
        <f>'Data Sheet'!J27</f>
        <v>381</v>
      </c>
      <c r="K9" s="9">
        <f>'Data Sheet'!K27</f>
        <v>410</v>
      </c>
      <c r="L9" s="9">
        <f>SUM(Quarters!H9:K9)</f>
        <v>415</v>
      </c>
      <c r="M9" s="9">
        <f>+$L9</f>
        <v>415</v>
      </c>
      <c r="N9" s="9">
        <f>+$L9</f>
        <v>415</v>
      </c>
    </row>
    <row r="10" spans="1:14" x14ac:dyDescent="0.35">
      <c r="A10" s="6" t="s">
        <v>12</v>
      </c>
      <c r="B10" s="9">
        <f>'Data Sheet'!B28</f>
        <v>6467</v>
      </c>
      <c r="C10" s="9">
        <f>'Data Sheet'!C28</f>
        <v>7306</v>
      </c>
      <c r="D10" s="9">
        <f>'Data Sheet'!D28</f>
        <v>8604</v>
      </c>
      <c r="E10" s="9">
        <f>'Data Sheet'!E28</f>
        <v>9165</v>
      </c>
      <c r="F10" s="9">
        <f>'Data Sheet'!F28</f>
        <v>10605</v>
      </c>
      <c r="G10" s="9">
        <f>'Data Sheet'!G28</f>
        <v>11879</v>
      </c>
      <c r="H10" s="9">
        <f>'Data Sheet'!H28</f>
        <v>13344</v>
      </c>
      <c r="I10" s="9">
        <f>'Data Sheet'!I28</f>
        <v>13926</v>
      </c>
      <c r="J10" s="9">
        <f>'Data Sheet'!J28</f>
        <v>14419</v>
      </c>
      <c r="K10" s="9">
        <f>'Data Sheet'!K28</f>
        <v>18219</v>
      </c>
      <c r="L10" s="9">
        <f>SUM(Quarters!H10:K10)</f>
        <v>18228</v>
      </c>
      <c r="M10" s="9">
        <f>M6+M7-SUM(M8:M9)</f>
        <v>14246.784107344536</v>
      </c>
      <c r="N10" s="9">
        <f>N6+N7-SUM(N8:N9)</f>
        <v>13475.271422321472</v>
      </c>
    </row>
    <row r="11" spans="1:14" x14ac:dyDescent="0.35">
      <c r="A11" s="6" t="s">
        <v>13</v>
      </c>
      <c r="B11" s="9">
        <f>'Data Sheet'!B29</f>
        <v>1977</v>
      </c>
      <c r="C11" s="9">
        <f>'Data Sheet'!C29</f>
        <v>2079</v>
      </c>
      <c r="D11" s="9">
        <f>'Data Sheet'!D29</f>
        <v>2544</v>
      </c>
      <c r="E11" s="9">
        <f>'Data Sheet'!E29</f>
        <v>2409</v>
      </c>
      <c r="F11" s="9">
        <f>'Data Sheet'!F29</f>
        <v>2606</v>
      </c>
      <c r="G11" s="9">
        <f>'Data Sheet'!G29</f>
        <v>2987</v>
      </c>
      <c r="H11" s="9">
        <f>'Data Sheet'!H29</f>
        <v>3201</v>
      </c>
      <c r="I11" s="9">
        <f>'Data Sheet'!I29</f>
        <v>3644</v>
      </c>
      <c r="J11" s="9">
        <f>'Data Sheet'!J29</f>
        <v>3748</v>
      </c>
      <c r="K11" s="9">
        <f>'Data Sheet'!K29</f>
        <v>3160</v>
      </c>
      <c r="L11" s="9">
        <f>SUM(Quarters!H11:K11)</f>
        <v>3169</v>
      </c>
      <c r="M11" s="10">
        <f>IF($L10&gt;0,$L11/$L10,0)</f>
        <v>0.17385341233267501</v>
      </c>
      <c r="N11" s="10">
        <f>IF($L10&gt;0,$L11/$L10,0)</f>
        <v>0.17385341233267501</v>
      </c>
    </row>
    <row r="12" spans="1:14" s="8" customFormat="1" x14ac:dyDescent="0.35">
      <c r="A12" s="8" t="s">
        <v>14</v>
      </c>
      <c r="B12" s="1">
        <f>'Data Sheet'!B30</f>
        <v>4476</v>
      </c>
      <c r="C12" s="1">
        <f>'Data Sheet'!C30</f>
        <v>5214</v>
      </c>
      <c r="D12" s="1">
        <f>'Data Sheet'!D30</f>
        <v>6054</v>
      </c>
      <c r="E12" s="1">
        <f>'Data Sheet'!E30</f>
        <v>6748</v>
      </c>
      <c r="F12" s="1">
        <f>'Data Sheet'!F30</f>
        <v>7995</v>
      </c>
      <c r="G12" s="1">
        <f>'Data Sheet'!G30</f>
        <v>8879</v>
      </c>
      <c r="H12" s="1">
        <f>'Data Sheet'!H30</f>
        <v>10120</v>
      </c>
      <c r="I12" s="1">
        <f>'Data Sheet'!I30</f>
        <v>10277</v>
      </c>
      <c r="J12" s="1">
        <f>'Data Sheet'!J30</f>
        <v>10649</v>
      </c>
      <c r="K12" s="1">
        <f>'Data Sheet'!K30</f>
        <v>15040</v>
      </c>
      <c r="L12" s="1">
        <f>SUM(Quarters!H12:K12)</f>
        <v>15040</v>
      </c>
      <c r="M12" s="1">
        <f>M10-M11*M10</f>
        <v>11769.932075515764</v>
      </c>
      <c r="N12" s="1">
        <f>N10-N11*N10</f>
        <v>11132.549503441904</v>
      </c>
    </row>
    <row r="13" spans="1:14" x14ac:dyDescent="0.35">
      <c r="A13" s="11" t="s">
        <v>57</v>
      </c>
      <c r="B13" s="9">
        <f>IF('Data Sheet'!B93&gt;0,B12/'Data Sheet'!B93,0)</f>
        <v>20.681051610220393</v>
      </c>
      <c r="C13" s="9">
        <f>IF('Data Sheet'!C93&gt;0,C12/'Data Sheet'!C93,0)</f>
        <v>24.088704088704091</v>
      </c>
      <c r="D13" s="9">
        <f>IF('Data Sheet'!D93&gt;0,D12/'Data Sheet'!D93,0)</f>
        <v>27.966923823162563</v>
      </c>
      <c r="E13" s="9">
        <f>IF('Data Sheet'!E93&gt;0,E12/'Data Sheet'!E93,0)</f>
        <v>31.171470805617147</v>
      </c>
      <c r="F13" s="9">
        <f>IF('Data Sheet'!F93&gt;0,F12/'Data Sheet'!F93,0)</f>
        <v>34.027068437180795</v>
      </c>
      <c r="G13" s="9">
        <f>IF('Data Sheet'!G93&gt;0,G12/'Data Sheet'!G93,0)</f>
        <v>37.789410963568265</v>
      </c>
      <c r="H13" s="9">
        <f>IF('Data Sheet'!H93&gt;0,H12/'Data Sheet'!H93,0)</f>
        <v>43.071161048689135</v>
      </c>
      <c r="I13" s="9">
        <f>IF('Data Sheet'!I93&gt;0,I12/'Data Sheet'!I93,0)</f>
        <v>43.739359891045282</v>
      </c>
      <c r="J13" s="9">
        <f>IF('Data Sheet'!J93&gt;0,J12/'Data Sheet'!J93,0)</f>
        <v>45.32260810350698</v>
      </c>
      <c r="K13" s="9">
        <f>IF('Data Sheet'!K93&gt;0,K12/'Data Sheet'!K93,0)</f>
        <v>64.010895471569626</v>
      </c>
      <c r="L13" s="9">
        <f>IF('Data Sheet'!$B6&gt;0,'Profit &amp; Loss'!L12/'Data Sheet'!$B6,0)</f>
        <v>64.011129673796205</v>
      </c>
      <c r="M13" s="9">
        <f>IF('Data Sheet'!$B6&gt;0,'Profit &amp; Loss'!M12/'Data Sheet'!$B6,0)</f>
        <v>50.093527150107242</v>
      </c>
      <c r="N13" s="9">
        <f>IF('Data Sheet'!$B6&gt;0,'Profit &amp; Loss'!N12/'Data Sheet'!$B6,0)</f>
        <v>47.380789219732399</v>
      </c>
    </row>
    <row r="14" spans="1:14" x14ac:dyDescent="0.35">
      <c r="A14" s="6" t="s">
        <v>16</v>
      </c>
      <c r="B14" s="9">
        <f>IF(B15&gt;0,B15/B13,"")</f>
        <v>42.193695777479896</v>
      </c>
      <c r="C14" s="9">
        <f t="shared" ref="C14:K14" si="2">IF(C15&gt;0,C15/C13,"")</f>
        <v>52.975452531645558</v>
      </c>
      <c r="D14" s="9">
        <f t="shared" si="2"/>
        <v>58.409355649157582</v>
      </c>
      <c r="E14" s="9">
        <f t="shared" si="2"/>
        <v>70.571902548903381</v>
      </c>
      <c r="F14" s="9">
        <f t="shared" si="2"/>
        <v>68.390258311444654</v>
      </c>
      <c r="G14" s="9">
        <f t="shared" si="2"/>
        <v>51.88490505687578</v>
      </c>
      <c r="H14" s="9">
        <f t="shared" si="2"/>
        <v>56.892824347826092</v>
      </c>
      <c r="I14" s="9">
        <f t="shared" si="2"/>
        <v>49.546678447017612</v>
      </c>
      <c r="J14" s="9">
        <f t="shared" si="2"/>
        <v>47.699814517795097</v>
      </c>
      <c r="K14" s="9">
        <f t="shared" si="2"/>
        <v>32.107034042553188</v>
      </c>
      <c r="L14" s="9">
        <f t="shared" ref="L14" si="3">IF(L13&gt;0,L15/L13,0)</f>
        <v>33.619153590425533</v>
      </c>
      <c r="M14" s="9">
        <f>M25</f>
        <v>40.743170149447856</v>
      </c>
      <c r="N14" s="9">
        <f>N25</f>
        <v>33.619153590425533</v>
      </c>
    </row>
    <row r="15" spans="1:14" s="8" customFormat="1" x14ac:dyDescent="0.35">
      <c r="A15" s="8" t="s">
        <v>58</v>
      </c>
      <c r="B15" s="1">
        <f>'Data Sheet'!B90</f>
        <v>872.61</v>
      </c>
      <c r="C15" s="1">
        <f>'Data Sheet'!C90</f>
        <v>1276.1099999999999</v>
      </c>
      <c r="D15" s="1">
        <f>'Data Sheet'!D90</f>
        <v>1633.53</v>
      </c>
      <c r="E15" s="1">
        <f>'Data Sheet'!E90</f>
        <v>2199.83</v>
      </c>
      <c r="F15" s="1">
        <f>'Data Sheet'!F90</f>
        <v>2327.12</v>
      </c>
      <c r="G15" s="1">
        <f>'Data Sheet'!G90</f>
        <v>1960.7</v>
      </c>
      <c r="H15" s="1">
        <f>'Data Sheet'!H90</f>
        <v>2450.44</v>
      </c>
      <c r="I15" s="1">
        <f>'Data Sheet'!I90</f>
        <v>2167.14</v>
      </c>
      <c r="J15" s="1">
        <f>'Data Sheet'!J90</f>
        <v>2161.88</v>
      </c>
      <c r="K15" s="1">
        <f>'Data Sheet'!K90</f>
        <v>2055.1999999999998</v>
      </c>
      <c r="L15" s="1">
        <f>'Data Sheet'!B8</f>
        <v>2152</v>
      </c>
      <c r="M15" s="12">
        <f>M13*M14</f>
        <v>2040.9691000628052</v>
      </c>
      <c r="N15" s="13">
        <f>N13*N14</f>
        <v>1592.902030013762</v>
      </c>
    </row>
    <row r="17" spans="1:14" s="8" customFormat="1" x14ac:dyDescent="0.35">
      <c r="A17" s="8" t="s">
        <v>15</v>
      </c>
    </row>
    <row r="18" spans="1:14" x14ac:dyDescent="0.35">
      <c r="A18" s="6" t="s">
        <v>17</v>
      </c>
      <c r="B18" s="7">
        <f>IF('Data Sheet'!B30&gt;0, 'Data Sheet'!B31/'Data Sheet'!B30, 0)</f>
        <v>0.82037533512064342</v>
      </c>
      <c r="C18" s="7">
        <f>IF('Data Sheet'!C30&gt;0, 'Data Sheet'!C31/'Data Sheet'!C30, 0)</f>
        <v>0.8285385500575374</v>
      </c>
      <c r="D18" s="7">
        <f>IF('Data Sheet'!D30&gt;0, 'Data Sheet'!D31/'Data Sheet'!D30, 0)</f>
        <v>0.78493557978196238</v>
      </c>
      <c r="E18" s="7">
        <f>IF('Data Sheet'!E30&gt;0, 'Data Sheet'!E31/'Data Sheet'!E30, 0)</f>
        <v>0.80023710729104924</v>
      </c>
      <c r="F18" s="7">
        <f>IF('Data Sheet'!F30&gt;0, 'Data Sheet'!F31/'Data Sheet'!F30, 0)</f>
        <v>1.1904315196998123</v>
      </c>
      <c r="G18" s="7">
        <f>IF('Data Sheet'!G30&gt;0, 'Data Sheet'!G31/'Data Sheet'!G30, 0)</f>
        <v>0.89987611217479446</v>
      </c>
      <c r="H18" s="7">
        <f>IF('Data Sheet'!H30&gt;0, 'Data Sheet'!H31/'Data Sheet'!H30, 0)</f>
        <v>0.90563241106719372</v>
      </c>
      <c r="I18" s="7">
        <f>IF('Data Sheet'!I30&gt;0, 'Data Sheet'!I31/'Data Sheet'!I30, 0)</f>
        <v>0.96039700301644448</v>
      </c>
      <c r="J18" s="7">
        <f>IF('Data Sheet'!J30&gt;0, 'Data Sheet'!J31/'Data Sheet'!J30, 0)</f>
        <v>1.1695933890506152</v>
      </c>
      <c r="K18" s="7">
        <f>IF('Data Sheet'!K30&gt;0, 'Data Sheet'!K31/'Data Sheet'!K30, 0)</f>
        <v>0.640625</v>
      </c>
    </row>
    <row r="19" spans="1:14" x14ac:dyDescent="0.35">
      <c r="A19" s="6" t="s">
        <v>18</v>
      </c>
      <c r="B19" s="7">
        <f t="shared" ref="B19:L19" si="4">IF(B6&gt;0,B6/B4,0)</f>
        <v>0.1908208190097099</v>
      </c>
      <c r="C19" s="7">
        <f t="shared" ref="C19:K19" si="5">IF(C6&gt;0,C6/C4,0)</f>
        <v>0.21097200731467156</v>
      </c>
      <c r="D19" s="7">
        <f t="shared" si="5"/>
        <v>0.2258967183922666</v>
      </c>
      <c r="E19" s="7">
        <f t="shared" si="5"/>
        <v>0.24786969308498605</v>
      </c>
      <c r="F19" s="7">
        <f t="shared" si="5"/>
        <v>0.24721442544866887</v>
      </c>
      <c r="G19" s="7">
        <f t="shared" si="5"/>
        <v>0.24514738969606834</v>
      </c>
      <c r="H19" s="7">
        <f t="shared" si="5"/>
        <v>0.23352591614394189</v>
      </c>
      <c r="I19" s="7">
        <f t="shared" si="5"/>
        <v>0.23683275171255008</v>
      </c>
      <c r="J19" s="7">
        <f t="shared" si="5"/>
        <v>0.23966214453430734</v>
      </c>
      <c r="K19" s="7">
        <f t="shared" si="5"/>
        <v>0.23327852578023206</v>
      </c>
      <c r="L19" s="7">
        <f t="shared" si="4"/>
        <v>0.23176696052127252</v>
      </c>
    </row>
    <row r="20" spans="1:14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7.6658974207876929E-2</v>
      </c>
      <c r="I23" s="7">
        <f>IF(D4=0,"",POWER($K4/D4,1/7)-1)</f>
        <v>7.3227008221417922E-2</v>
      </c>
      <c r="J23" s="7">
        <f>IF(F4=0,"",POWER($K4/F4,1/5)-1)</f>
        <v>6.5117542409641516E-2</v>
      </c>
      <c r="K23" s="7">
        <f>IF(H4=0,"",POWER($K4/H4, 1/3)-1)</f>
        <v>2.0951181546343456E-2</v>
      </c>
      <c r="L23" s="7">
        <f>IF(ISERROR(MAX(IF(J4=0,"",(K4-J4)/J4),IF(K4=0,"",(L4-K4)/K4))),"",MAX(IF(J4=0,"",(K4-J4)/J4),IF(K4=0,"",(L4-K4)/K4)))</f>
        <v>5.1200104356900603E-2</v>
      </c>
      <c r="M23" s="22">
        <f>MAX(K23:L23)</f>
        <v>5.1200104356900603E-2</v>
      </c>
      <c r="N23" s="22">
        <f>MIN(H23:L23)</f>
        <v>2.0951181546343456E-2</v>
      </c>
    </row>
    <row r="24" spans="1:14" x14ac:dyDescent="0.35">
      <c r="G24" s="6" t="s">
        <v>18</v>
      </c>
      <c r="H24" s="7">
        <f>IF(SUM(B4:$K$4)=0,"",SUMPRODUCT(B19:$K$19,B4:$K$4)/SUM(B4:$K$4))</f>
        <v>0.23326593293054529</v>
      </c>
      <c r="I24" s="7">
        <f>IF(SUM(E4:$K$4)=0,"",SUMPRODUCT(E19:$K$19,E4:$K$4)/SUM(E4:$K$4))</f>
        <v>0.23969044897285108</v>
      </c>
      <c r="J24" s="7">
        <f>IF(SUM(G4:$K$4)=0,"",SUMPRODUCT(G19:$K$19,G4:$K$4)/SUM(G4:$K$4))</f>
        <v>0.23743174668626421</v>
      </c>
      <c r="K24" s="7">
        <f>IF(SUM(I4:$K$4)=0, "", SUMPRODUCT(I19:$K$19,I4:$K$4)/SUM(I4:$K$4))</f>
        <v>0.23653645333844808</v>
      </c>
      <c r="L24" s="7">
        <f>L19</f>
        <v>0.23176696052127252</v>
      </c>
      <c r="M24" s="22">
        <f>MAX(K24:L24)</f>
        <v>0.23653645333844808</v>
      </c>
      <c r="N24" s="22">
        <f>MIN(H24:L24)</f>
        <v>0.23176696052127252</v>
      </c>
    </row>
    <row r="25" spans="1:14" x14ac:dyDescent="0.35">
      <c r="G25" s="6" t="s">
        <v>23</v>
      </c>
      <c r="H25" s="9">
        <f>IF(ISERROR(AVERAGEIF(B14:$L14,"&gt;0")),"",AVERAGEIF(B14:$L14,"&gt;0"))</f>
        <v>51.299188620102207</v>
      </c>
      <c r="I25" s="9">
        <f>IF(ISERROR(AVERAGEIF(E14:$L14,"&gt;0")),"",AVERAGEIF(E14:$L14,"&gt;0"))</f>
        <v>51.339071357855168</v>
      </c>
      <c r="J25" s="9">
        <f>IF(ISERROR(AVERAGEIF(G14:$L14,"&gt;0")),"",AVERAGEIF(G14:$L14,"&gt;0"))</f>
        <v>45.291735000415549</v>
      </c>
      <c r="K25" s="9">
        <f>IF(ISERROR(AVERAGEIF(I14:$L14,"&gt;0")),"",AVERAGEIF(I14:$L14,"&gt;0"))</f>
        <v>40.743170149447856</v>
      </c>
      <c r="L25" s="9">
        <f>L14</f>
        <v>33.619153590425533</v>
      </c>
      <c r="M25" s="1">
        <f>MAX(K25:L25)</f>
        <v>40.743170149447856</v>
      </c>
      <c r="N25" s="1">
        <f>MIN(H25:L25)</f>
        <v>33.619153590425533</v>
      </c>
    </row>
  </sheetData>
  <hyperlinks>
    <hyperlink ref="M1" r:id="rId1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style="6" customWidth="1"/>
    <col min="2" max="11" width="13.453125" style="6" bestFit="1" customWidth="1"/>
    <col min="12" max="16384" width="8.81640625" style="6"/>
  </cols>
  <sheetData>
    <row r="1" spans="1:11" s="8" customFormat="1" x14ac:dyDescent="0.35">
      <c r="A1" s="8" t="str">
        <f>'Profit &amp; Loss'!A1</f>
        <v>HINDUSTAN UNILEVER LTD</v>
      </c>
      <c r="E1" t="str">
        <f>UPDATE</f>
        <v/>
      </c>
      <c r="J1" s="4" t="s">
        <v>1</v>
      </c>
      <c r="K1" s="4"/>
    </row>
    <row r="3" spans="1:11" s="2" customFormat="1" x14ac:dyDescent="0.35">
      <c r="A3" s="15" t="s">
        <v>2</v>
      </c>
      <c r="B3" s="16">
        <f>'Data Sheet'!B41</f>
        <v>45291</v>
      </c>
      <c r="C3" s="16">
        <f>'Data Sheet'!C41</f>
        <v>45382</v>
      </c>
      <c r="D3" s="16">
        <f>'Data Sheet'!D41</f>
        <v>45473</v>
      </c>
      <c r="E3" s="16">
        <f>'Data Sheet'!E41</f>
        <v>45565</v>
      </c>
      <c r="F3" s="16">
        <f>'Data Sheet'!F41</f>
        <v>45657</v>
      </c>
      <c r="G3" s="16">
        <f>'Data Sheet'!G41</f>
        <v>45747</v>
      </c>
      <c r="H3" s="16">
        <f>'Data Sheet'!H41</f>
        <v>45838</v>
      </c>
      <c r="I3" s="16">
        <f>'Data Sheet'!I41</f>
        <v>45930</v>
      </c>
      <c r="J3" s="16">
        <f>'Data Sheet'!J41</f>
        <v>46022</v>
      </c>
      <c r="K3" s="16">
        <f>'Data Sheet'!K41</f>
        <v>46112</v>
      </c>
    </row>
    <row r="4" spans="1:11" s="8" customFormat="1" x14ac:dyDescent="0.35">
      <c r="A4" s="8" t="s">
        <v>6</v>
      </c>
      <c r="B4" s="1">
        <f>'Data Sheet'!B42</f>
        <v>15567</v>
      </c>
      <c r="C4" s="1">
        <f>'Data Sheet'!C42</f>
        <v>15210</v>
      </c>
      <c r="D4" s="1">
        <f>'Data Sheet'!D42</f>
        <v>15707</v>
      </c>
      <c r="E4" s="1">
        <f>'Data Sheet'!E42</f>
        <v>15926</v>
      </c>
      <c r="F4" s="1">
        <f>'Data Sheet'!F42</f>
        <v>15556</v>
      </c>
      <c r="G4" s="1">
        <f>'Data Sheet'!G42</f>
        <v>15190</v>
      </c>
      <c r="H4" s="1">
        <f>'Data Sheet'!H42</f>
        <v>16514</v>
      </c>
      <c r="I4" s="1">
        <f>'Data Sheet'!I42</f>
        <v>15919</v>
      </c>
      <c r="J4" s="1">
        <f>'Data Sheet'!J42</f>
        <v>16441</v>
      </c>
      <c r="K4" s="1">
        <f>'Data Sheet'!K42</f>
        <v>16351</v>
      </c>
    </row>
    <row r="5" spans="1:11" x14ac:dyDescent="0.35">
      <c r="A5" s="6" t="s">
        <v>7</v>
      </c>
      <c r="B5" s="9">
        <f>'Data Sheet'!B43</f>
        <v>11902</v>
      </c>
      <c r="C5" s="9">
        <f>'Data Sheet'!C43</f>
        <v>11675</v>
      </c>
      <c r="D5" s="9">
        <f>'Data Sheet'!D43</f>
        <v>11965</v>
      </c>
      <c r="E5" s="9">
        <f>'Data Sheet'!E43</f>
        <v>12139</v>
      </c>
      <c r="F5" s="9">
        <f>'Data Sheet'!F43</f>
        <v>11867</v>
      </c>
      <c r="G5" s="9">
        <f>'Data Sheet'!G43</f>
        <v>11572</v>
      </c>
      <c r="H5" s="9">
        <f>'Data Sheet'!H43</f>
        <v>12797</v>
      </c>
      <c r="I5" s="9">
        <f>'Data Sheet'!I43</f>
        <v>12137</v>
      </c>
      <c r="J5" s="9">
        <f>'Data Sheet'!J43</f>
        <v>12660</v>
      </c>
      <c r="K5" s="9">
        <f>'Data Sheet'!K43</f>
        <v>12514</v>
      </c>
    </row>
    <row r="6" spans="1:11" s="8" customFormat="1" x14ac:dyDescent="0.35">
      <c r="A6" s="8" t="s">
        <v>8</v>
      </c>
      <c r="B6" s="1">
        <f>'Data Sheet'!B50</f>
        <v>3665</v>
      </c>
      <c r="C6" s="1">
        <f>'Data Sheet'!C50</f>
        <v>3535</v>
      </c>
      <c r="D6" s="1">
        <f>'Data Sheet'!D50</f>
        <v>3742</v>
      </c>
      <c r="E6" s="1">
        <f>'Data Sheet'!E50</f>
        <v>3787</v>
      </c>
      <c r="F6" s="1">
        <f>'Data Sheet'!F50</f>
        <v>3689</v>
      </c>
      <c r="G6" s="1">
        <f>'Data Sheet'!G50</f>
        <v>3618</v>
      </c>
      <c r="H6" s="1">
        <f>'Data Sheet'!H50</f>
        <v>3717</v>
      </c>
      <c r="I6" s="1">
        <f>'Data Sheet'!I50</f>
        <v>3782</v>
      </c>
      <c r="J6" s="1">
        <f>'Data Sheet'!J50</f>
        <v>3781</v>
      </c>
      <c r="K6" s="1">
        <f>'Data Sheet'!K50</f>
        <v>3837</v>
      </c>
    </row>
    <row r="7" spans="1:11" x14ac:dyDescent="0.35">
      <c r="A7" s="6" t="s">
        <v>9</v>
      </c>
      <c r="B7" s="9">
        <f>'Data Sheet'!B44</f>
        <v>184</v>
      </c>
      <c r="C7" s="9">
        <f>'Data Sheet'!C44</f>
        <v>309</v>
      </c>
      <c r="D7" s="9">
        <f>'Data Sheet'!D44</f>
        <v>209</v>
      </c>
      <c r="E7" s="9">
        <f>'Data Sheet'!E44</f>
        <v>203</v>
      </c>
      <c r="F7" s="9">
        <f>'Data Sheet'!F44</f>
        <v>733</v>
      </c>
      <c r="G7" s="9">
        <f>'Data Sheet'!G44</f>
        <v>149</v>
      </c>
      <c r="H7" s="9">
        <f>'Data Sheet'!H44</f>
        <v>74</v>
      </c>
      <c r="I7" s="9">
        <f>'Data Sheet'!I44</f>
        <v>269</v>
      </c>
      <c r="J7" s="9">
        <f>'Data Sheet'!J44</f>
        <v>4048</v>
      </c>
      <c r="K7" s="9">
        <f>'Data Sheet'!K44</f>
        <v>503</v>
      </c>
    </row>
    <row r="8" spans="1:11" x14ac:dyDescent="0.35">
      <c r="A8" s="6" t="s">
        <v>10</v>
      </c>
      <c r="B8" s="9">
        <f>'Data Sheet'!B45</f>
        <v>313</v>
      </c>
      <c r="C8" s="9">
        <f>'Data Sheet'!C45</f>
        <v>320</v>
      </c>
      <c r="D8" s="9">
        <f>'Data Sheet'!D45</f>
        <v>329</v>
      </c>
      <c r="E8" s="9">
        <f>'Data Sheet'!E45</f>
        <v>338</v>
      </c>
      <c r="F8" s="9">
        <f>'Data Sheet'!F45</f>
        <v>318</v>
      </c>
      <c r="G8" s="9">
        <f>'Data Sheet'!G45</f>
        <v>318</v>
      </c>
      <c r="H8" s="9">
        <f>'Data Sheet'!H45</f>
        <v>361</v>
      </c>
      <c r="I8" s="9">
        <f>'Data Sheet'!I45</f>
        <v>322</v>
      </c>
      <c r="J8" s="9">
        <f>'Data Sheet'!J45</f>
        <v>337</v>
      </c>
      <c r="K8" s="9">
        <f>'Data Sheet'!K45</f>
        <v>348</v>
      </c>
    </row>
    <row r="9" spans="1:11" x14ac:dyDescent="0.35">
      <c r="A9" s="6" t="s">
        <v>11</v>
      </c>
      <c r="B9" s="9">
        <f>'Data Sheet'!B46</f>
        <v>91</v>
      </c>
      <c r="C9" s="9">
        <f>'Data Sheet'!C46</f>
        <v>105</v>
      </c>
      <c r="D9" s="9">
        <f>'Data Sheet'!D46</f>
        <v>93</v>
      </c>
      <c r="E9" s="9">
        <f>'Data Sheet'!E46</f>
        <v>110</v>
      </c>
      <c r="F9" s="9">
        <f>'Data Sheet'!F46</f>
        <v>109</v>
      </c>
      <c r="G9" s="9">
        <f>'Data Sheet'!G46</f>
        <v>77</v>
      </c>
      <c r="H9" s="9">
        <f>'Data Sheet'!H46</f>
        <v>127</v>
      </c>
      <c r="I9" s="9">
        <f>'Data Sheet'!I46</f>
        <v>124</v>
      </c>
      <c r="J9" s="9">
        <f>'Data Sheet'!J46</f>
        <v>88</v>
      </c>
      <c r="K9" s="9">
        <f>'Data Sheet'!K46</f>
        <v>76</v>
      </c>
    </row>
    <row r="10" spans="1:11" x14ac:dyDescent="0.35">
      <c r="A10" s="6" t="s">
        <v>12</v>
      </c>
      <c r="B10" s="9">
        <f>'Data Sheet'!B47</f>
        <v>3445</v>
      </c>
      <c r="C10" s="9">
        <f>'Data Sheet'!C47</f>
        <v>3419</v>
      </c>
      <c r="D10" s="9">
        <f>'Data Sheet'!D47</f>
        <v>3529</v>
      </c>
      <c r="E10" s="9">
        <f>'Data Sheet'!E47</f>
        <v>3542</v>
      </c>
      <c r="F10" s="9">
        <f>'Data Sheet'!F47</f>
        <v>3995</v>
      </c>
      <c r="G10" s="9">
        <f>'Data Sheet'!G47</f>
        <v>3372</v>
      </c>
      <c r="H10" s="9">
        <f>'Data Sheet'!H47</f>
        <v>3303</v>
      </c>
      <c r="I10" s="9">
        <f>'Data Sheet'!I47</f>
        <v>3605</v>
      </c>
      <c r="J10" s="9">
        <f>'Data Sheet'!J47</f>
        <v>7404</v>
      </c>
      <c r="K10" s="9">
        <f>'Data Sheet'!K47</f>
        <v>3916</v>
      </c>
    </row>
    <row r="11" spans="1:11" x14ac:dyDescent="0.35">
      <c r="A11" s="6" t="s">
        <v>13</v>
      </c>
      <c r="B11" s="9">
        <f>'Data Sheet'!B48</f>
        <v>937</v>
      </c>
      <c r="C11" s="9">
        <f>'Data Sheet'!C48</f>
        <v>858</v>
      </c>
      <c r="D11" s="9">
        <f>'Data Sheet'!D48</f>
        <v>917</v>
      </c>
      <c r="E11" s="9">
        <f>'Data Sheet'!E48</f>
        <v>947</v>
      </c>
      <c r="F11" s="9">
        <f>'Data Sheet'!F48</f>
        <v>1006</v>
      </c>
      <c r="G11" s="9">
        <f>'Data Sheet'!G48</f>
        <v>897</v>
      </c>
      <c r="H11" s="9">
        <f>'Data Sheet'!H48</f>
        <v>535</v>
      </c>
      <c r="I11" s="9">
        <f>'Data Sheet'!I48</f>
        <v>911</v>
      </c>
      <c r="J11" s="9">
        <f>'Data Sheet'!J48</f>
        <v>801</v>
      </c>
      <c r="K11" s="9">
        <f>'Data Sheet'!K48</f>
        <v>922</v>
      </c>
    </row>
    <row r="12" spans="1:11" s="8" customFormat="1" x14ac:dyDescent="0.35">
      <c r="A12" s="8" t="s">
        <v>14</v>
      </c>
      <c r="B12" s="1">
        <f>'Data Sheet'!B49</f>
        <v>2509</v>
      </c>
      <c r="C12" s="1">
        <f>'Data Sheet'!C49</f>
        <v>2558</v>
      </c>
      <c r="D12" s="1">
        <f>'Data Sheet'!D49</f>
        <v>2610</v>
      </c>
      <c r="E12" s="1">
        <f>'Data Sheet'!E49</f>
        <v>2591</v>
      </c>
      <c r="F12" s="1">
        <f>'Data Sheet'!F49</f>
        <v>2984</v>
      </c>
      <c r="G12" s="1">
        <f>'Data Sheet'!G49</f>
        <v>2464</v>
      </c>
      <c r="H12" s="1">
        <f>'Data Sheet'!H49</f>
        <v>2756</v>
      </c>
      <c r="I12" s="1">
        <f>'Data Sheet'!I49</f>
        <v>2685</v>
      </c>
      <c r="J12" s="1">
        <f>'Data Sheet'!J49</f>
        <v>6607</v>
      </c>
      <c r="K12" s="1">
        <f>'Data Sheet'!K49</f>
        <v>2992</v>
      </c>
    </row>
    <row r="14" spans="1:11" s="8" customFormat="1" x14ac:dyDescent="0.35">
      <c r="A14" s="2" t="s">
        <v>18</v>
      </c>
      <c r="B14" s="14">
        <f>IF(B4&gt;0,B6/B4,"")</f>
        <v>0.23543393075094751</v>
      </c>
      <c r="C14" s="14">
        <f t="shared" ref="C14:K14" si="0">IF(C4&gt;0,C6/C4,"")</f>
        <v>0.23241288625904011</v>
      </c>
      <c r="D14" s="14">
        <f t="shared" si="0"/>
        <v>0.23823772840134971</v>
      </c>
      <c r="E14" s="14">
        <f t="shared" si="0"/>
        <v>0.23778726610573905</v>
      </c>
      <c r="F14" s="14">
        <f t="shared" si="0"/>
        <v>0.23714322447930059</v>
      </c>
      <c r="G14" s="14">
        <f t="shared" si="0"/>
        <v>0.2381830151415405</v>
      </c>
      <c r="H14" s="14">
        <f t="shared" si="0"/>
        <v>0.22508174881918372</v>
      </c>
      <c r="I14" s="14">
        <f t="shared" si="0"/>
        <v>0.23757773729505621</v>
      </c>
      <c r="J14" s="14">
        <f t="shared" si="0"/>
        <v>0.22997384587312208</v>
      </c>
      <c r="K14" s="14">
        <f t="shared" si="0"/>
        <v>0.23466454651091675</v>
      </c>
    </row>
    <row r="22" s="30" customFormat="1" x14ac:dyDescent="0.35"/>
  </sheetData>
  <hyperlinks>
    <hyperlink ref="J1" r:id="rId1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style="11" bestFit="1" customWidth="1"/>
    <col min="2" max="2" width="13.453125" style="11" customWidth="1"/>
    <col min="3" max="11" width="15.453125" style="11" customWidth="1"/>
    <col min="12" max="16384" width="8.81640625" style="11"/>
  </cols>
  <sheetData>
    <row r="1" spans="1:11" s="8" customFormat="1" x14ac:dyDescent="0.35">
      <c r="A1" s="8" t="str">
        <f>'Profit &amp; Loss'!A1</f>
        <v>HINDUSTAN UNILEVER LTD</v>
      </c>
      <c r="E1" t="str">
        <f>UPDATE</f>
        <v/>
      </c>
      <c r="G1"/>
      <c r="J1" s="4" t="s">
        <v>1</v>
      </c>
      <c r="K1" s="4"/>
    </row>
    <row r="2" spans="1:11" x14ac:dyDescent="0.35">
      <c r="G2" s="8"/>
      <c r="H2" s="8"/>
    </row>
    <row r="3" spans="1:11" s="18" customFormat="1" x14ac:dyDescent="0.35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5">
      <c r="A4" s="6" t="s">
        <v>24</v>
      </c>
      <c r="B4" s="19">
        <f>'Data Sheet'!B57</f>
        <v>216</v>
      </c>
      <c r="C4" s="19">
        <f>'Data Sheet'!C57</f>
        <v>216</v>
      </c>
      <c r="D4" s="19">
        <f>'Data Sheet'!D57</f>
        <v>216</v>
      </c>
      <c r="E4" s="19">
        <f>'Data Sheet'!E57</f>
        <v>216</v>
      </c>
      <c r="F4" s="19">
        <f>'Data Sheet'!F57</f>
        <v>235</v>
      </c>
      <c r="G4" s="19">
        <f>'Data Sheet'!G57</f>
        <v>235</v>
      </c>
      <c r="H4" s="19">
        <f>'Data Sheet'!H57</f>
        <v>235</v>
      </c>
      <c r="I4" s="19">
        <f>'Data Sheet'!I57</f>
        <v>235</v>
      </c>
      <c r="J4" s="19">
        <f>'Data Sheet'!J57</f>
        <v>235</v>
      </c>
      <c r="K4" s="19">
        <f>'Data Sheet'!K57</f>
        <v>235</v>
      </c>
    </row>
    <row r="5" spans="1:11" s="6" customFormat="1" x14ac:dyDescent="0.35">
      <c r="A5" s="6" t="s">
        <v>25</v>
      </c>
      <c r="B5" s="19">
        <f>'Data Sheet'!B58</f>
        <v>6528</v>
      </c>
      <c r="C5" s="19">
        <f>'Data Sheet'!C58</f>
        <v>7065</v>
      </c>
      <c r="D5" s="19">
        <f>'Data Sheet'!D58</f>
        <v>7651</v>
      </c>
      <c r="E5" s="19">
        <f>'Data Sheet'!E58</f>
        <v>8013</v>
      </c>
      <c r="F5" s="19">
        <f>'Data Sheet'!F58</f>
        <v>47439</v>
      </c>
      <c r="G5" s="19">
        <f>'Data Sheet'!G58</f>
        <v>48826</v>
      </c>
      <c r="H5" s="19">
        <f>'Data Sheet'!H58</f>
        <v>50069</v>
      </c>
      <c r="I5" s="19">
        <f>'Data Sheet'!I58</f>
        <v>50983</v>
      </c>
      <c r="J5" s="19">
        <f>'Data Sheet'!J58</f>
        <v>49167</v>
      </c>
      <c r="K5" s="19">
        <f>'Data Sheet'!K58</f>
        <v>48504</v>
      </c>
    </row>
    <row r="6" spans="1:11" x14ac:dyDescent="0.35">
      <c r="A6" s="11" t="s">
        <v>71</v>
      </c>
      <c r="B6" s="19">
        <f>'Data Sheet'!B59</f>
        <v>277</v>
      </c>
      <c r="C6" s="19">
        <f>'Data Sheet'!C59</f>
        <v>0</v>
      </c>
      <c r="D6" s="19">
        <f>'Data Sheet'!D59</f>
        <v>99</v>
      </c>
      <c r="E6" s="19">
        <f>'Data Sheet'!E59</f>
        <v>0</v>
      </c>
      <c r="F6" s="19">
        <f>'Data Sheet'!F59</f>
        <v>0</v>
      </c>
      <c r="G6" s="19">
        <f>'Data Sheet'!G59</f>
        <v>1043</v>
      </c>
      <c r="H6" s="19">
        <f>'Data Sheet'!H59</f>
        <v>1219</v>
      </c>
      <c r="I6" s="19">
        <f>'Data Sheet'!I59</f>
        <v>1484</v>
      </c>
      <c r="J6" s="19">
        <f>'Data Sheet'!J59</f>
        <v>1648</v>
      </c>
      <c r="K6" s="19">
        <f>'Data Sheet'!K59</f>
        <v>1478</v>
      </c>
    </row>
    <row r="7" spans="1:11" s="6" customFormat="1" x14ac:dyDescent="0.35">
      <c r="A7" s="11" t="s">
        <v>72</v>
      </c>
      <c r="B7" s="19">
        <f>'Data Sheet'!B60</f>
        <v>8685</v>
      </c>
      <c r="C7" s="19">
        <f>'Data Sheet'!C60</f>
        <v>10581</v>
      </c>
      <c r="D7" s="19">
        <f>'Data Sheet'!D60</f>
        <v>10663</v>
      </c>
      <c r="E7" s="19">
        <f>'Data Sheet'!E60</f>
        <v>11924</v>
      </c>
      <c r="F7" s="19">
        <f>'Data Sheet'!F60</f>
        <v>21066</v>
      </c>
      <c r="G7" s="19">
        <f>'Data Sheet'!G60</f>
        <v>20402</v>
      </c>
      <c r="H7" s="19">
        <f>'Data Sheet'!H60</f>
        <v>21554</v>
      </c>
      <c r="I7" s="19">
        <f>'Data Sheet'!I60</f>
        <v>25787</v>
      </c>
      <c r="J7" s="19">
        <f>'Data Sheet'!J60</f>
        <v>28813</v>
      </c>
      <c r="K7" s="19">
        <f>'Data Sheet'!K60</f>
        <v>29521</v>
      </c>
    </row>
    <row r="8" spans="1:11" s="8" customFormat="1" x14ac:dyDescent="0.35">
      <c r="A8" s="8" t="s">
        <v>26</v>
      </c>
      <c r="B8" s="20">
        <f>'Data Sheet'!B61</f>
        <v>15706</v>
      </c>
      <c r="C8" s="20">
        <f>'Data Sheet'!C61</f>
        <v>17862</v>
      </c>
      <c r="D8" s="20">
        <f>'Data Sheet'!D61</f>
        <v>18629</v>
      </c>
      <c r="E8" s="20">
        <f>'Data Sheet'!E61</f>
        <v>20153</v>
      </c>
      <c r="F8" s="20">
        <f>'Data Sheet'!F61</f>
        <v>68740</v>
      </c>
      <c r="G8" s="20">
        <f>'Data Sheet'!G61</f>
        <v>70506</v>
      </c>
      <c r="H8" s="20">
        <f>'Data Sheet'!H61</f>
        <v>73077</v>
      </c>
      <c r="I8" s="20">
        <f>'Data Sheet'!I61</f>
        <v>78489</v>
      </c>
      <c r="J8" s="20">
        <f>'Data Sheet'!J61</f>
        <v>79863</v>
      </c>
      <c r="K8" s="20">
        <f>'Data Sheet'!K61</f>
        <v>79738</v>
      </c>
    </row>
    <row r="9" spans="1:11" s="8" customFormat="1" x14ac:dyDescent="0.3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5">
      <c r="A10" s="6" t="s">
        <v>27</v>
      </c>
      <c r="B10" s="19">
        <f>'Data Sheet'!B62</f>
        <v>4419</v>
      </c>
      <c r="C10" s="19">
        <f>'Data Sheet'!C62</f>
        <v>4528</v>
      </c>
      <c r="D10" s="19">
        <f>'Data Sheet'!D62</f>
        <v>4715</v>
      </c>
      <c r="E10" s="19">
        <f>'Data Sheet'!E62</f>
        <v>5479</v>
      </c>
      <c r="F10" s="19">
        <f>'Data Sheet'!F62</f>
        <v>51443</v>
      </c>
      <c r="G10" s="19">
        <f>'Data Sheet'!G62</f>
        <v>51473</v>
      </c>
      <c r="H10" s="19">
        <f>'Data Sheet'!H62</f>
        <v>52678</v>
      </c>
      <c r="I10" s="19">
        <f>'Data Sheet'!I62</f>
        <v>53744</v>
      </c>
      <c r="J10" s="19">
        <f>'Data Sheet'!J62</f>
        <v>54335</v>
      </c>
      <c r="K10" s="19">
        <f>'Data Sheet'!K62</f>
        <v>57428</v>
      </c>
    </row>
    <row r="11" spans="1:11" x14ac:dyDescent="0.35">
      <c r="A11" s="6" t="s">
        <v>28</v>
      </c>
      <c r="B11" s="19">
        <f>'Data Sheet'!B63</f>
        <v>229</v>
      </c>
      <c r="C11" s="19">
        <f>'Data Sheet'!C63</f>
        <v>461</v>
      </c>
      <c r="D11" s="19">
        <f>'Data Sheet'!D63</f>
        <v>406</v>
      </c>
      <c r="E11" s="19">
        <f>'Data Sheet'!E63</f>
        <v>597</v>
      </c>
      <c r="F11" s="19">
        <f>'Data Sheet'!F63</f>
        <v>745</v>
      </c>
      <c r="G11" s="19">
        <f>'Data Sheet'!G63</f>
        <v>1313</v>
      </c>
      <c r="H11" s="19">
        <f>'Data Sheet'!H63</f>
        <v>1132</v>
      </c>
      <c r="I11" s="19">
        <f>'Data Sheet'!I63</f>
        <v>1025</v>
      </c>
      <c r="J11" s="19">
        <f>'Data Sheet'!J63</f>
        <v>1009</v>
      </c>
      <c r="K11" s="19">
        <f>'Data Sheet'!K63</f>
        <v>880</v>
      </c>
    </row>
    <row r="12" spans="1:11" x14ac:dyDescent="0.35">
      <c r="A12" s="6" t="s">
        <v>29</v>
      </c>
      <c r="B12" s="19">
        <f>'Data Sheet'!B64</f>
        <v>3794</v>
      </c>
      <c r="C12" s="19">
        <f>'Data Sheet'!C64</f>
        <v>2873</v>
      </c>
      <c r="D12" s="19">
        <f>'Data Sheet'!D64</f>
        <v>2716</v>
      </c>
      <c r="E12" s="19">
        <f>'Data Sheet'!E64</f>
        <v>1255</v>
      </c>
      <c r="F12" s="19">
        <f>'Data Sheet'!F64</f>
        <v>2709</v>
      </c>
      <c r="G12" s="19">
        <f>'Data Sheet'!G64</f>
        <v>3521</v>
      </c>
      <c r="H12" s="19">
        <f>'Data Sheet'!H64</f>
        <v>2882</v>
      </c>
      <c r="I12" s="19">
        <f>'Data Sheet'!I64</f>
        <v>4625</v>
      </c>
      <c r="J12" s="19">
        <f>'Data Sheet'!J64</f>
        <v>3810</v>
      </c>
      <c r="K12" s="19">
        <f>'Data Sheet'!K64</f>
        <v>4359</v>
      </c>
    </row>
    <row r="13" spans="1:11" x14ac:dyDescent="0.35">
      <c r="A13" s="11" t="s">
        <v>73</v>
      </c>
      <c r="B13" s="19">
        <f>'Data Sheet'!B65</f>
        <v>7264</v>
      </c>
      <c r="C13" s="19">
        <f>'Data Sheet'!C65</f>
        <v>10000</v>
      </c>
      <c r="D13" s="19">
        <f>'Data Sheet'!D65</f>
        <v>10792</v>
      </c>
      <c r="E13" s="19">
        <f>'Data Sheet'!E65</f>
        <v>12822</v>
      </c>
      <c r="F13" s="19">
        <f>'Data Sheet'!F65</f>
        <v>13843</v>
      </c>
      <c r="G13" s="19">
        <f>'Data Sheet'!G65</f>
        <v>14199</v>
      </c>
      <c r="H13" s="19">
        <f>'Data Sheet'!H65</f>
        <v>16385</v>
      </c>
      <c r="I13" s="19">
        <f>'Data Sheet'!I65</f>
        <v>19095</v>
      </c>
      <c r="J13" s="19">
        <f>'Data Sheet'!J65</f>
        <v>20709</v>
      </c>
      <c r="K13" s="19">
        <f>'Data Sheet'!K65</f>
        <v>17071</v>
      </c>
    </row>
    <row r="14" spans="1:11" s="8" customFormat="1" x14ac:dyDescent="0.35">
      <c r="A14" s="8" t="s">
        <v>26</v>
      </c>
      <c r="B14" s="19">
        <f>'Data Sheet'!B66</f>
        <v>15706</v>
      </c>
      <c r="C14" s="19">
        <f>'Data Sheet'!C66</f>
        <v>17862</v>
      </c>
      <c r="D14" s="19">
        <f>'Data Sheet'!D66</f>
        <v>18629</v>
      </c>
      <c r="E14" s="19">
        <f>'Data Sheet'!E66</f>
        <v>20153</v>
      </c>
      <c r="F14" s="19">
        <f>'Data Sheet'!F66</f>
        <v>68740</v>
      </c>
      <c r="G14" s="19">
        <f>'Data Sheet'!G66</f>
        <v>70506</v>
      </c>
      <c r="H14" s="19">
        <f>'Data Sheet'!H66</f>
        <v>73077</v>
      </c>
      <c r="I14" s="19">
        <f>'Data Sheet'!I66</f>
        <v>78489</v>
      </c>
      <c r="J14" s="19">
        <f>'Data Sheet'!J66</f>
        <v>79863</v>
      </c>
      <c r="K14" s="19">
        <f>'Data Sheet'!K66</f>
        <v>79738</v>
      </c>
    </row>
    <row r="15" spans="1:11" x14ac:dyDescent="0.3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5">
      <c r="A16" s="29" t="s">
        <v>30</v>
      </c>
      <c r="B16" s="21">
        <f>B13-B7</f>
        <v>-1421</v>
      </c>
      <c r="C16" s="21">
        <f t="shared" ref="C16:K16" si="0">C13-C7</f>
        <v>-581</v>
      </c>
      <c r="D16" s="21">
        <f t="shared" si="0"/>
        <v>129</v>
      </c>
      <c r="E16" s="21">
        <f t="shared" si="0"/>
        <v>898</v>
      </c>
      <c r="F16" s="21">
        <f t="shared" si="0"/>
        <v>-7223</v>
      </c>
      <c r="G16" s="21">
        <f t="shared" si="0"/>
        <v>-6203</v>
      </c>
      <c r="H16" s="21">
        <f t="shared" si="0"/>
        <v>-5169</v>
      </c>
      <c r="I16" s="21">
        <f t="shared" si="0"/>
        <v>-6692</v>
      </c>
      <c r="J16" s="21">
        <f t="shared" si="0"/>
        <v>-8104</v>
      </c>
      <c r="K16" s="21">
        <f t="shared" si="0"/>
        <v>-12450</v>
      </c>
    </row>
    <row r="17" spans="1:11" x14ac:dyDescent="0.35">
      <c r="A17" s="11" t="s">
        <v>44</v>
      </c>
      <c r="B17" s="21">
        <f>'Data Sheet'!B67</f>
        <v>1085</v>
      </c>
      <c r="C17" s="21">
        <f>'Data Sheet'!C67</f>
        <v>1310</v>
      </c>
      <c r="D17" s="21">
        <f>'Data Sheet'!D67</f>
        <v>1816</v>
      </c>
      <c r="E17" s="21">
        <f>'Data Sheet'!E67</f>
        <v>1149</v>
      </c>
      <c r="F17" s="21">
        <f>'Data Sheet'!F67</f>
        <v>1758</v>
      </c>
      <c r="G17" s="21">
        <f>'Data Sheet'!G67</f>
        <v>2236</v>
      </c>
      <c r="H17" s="21">
        <f>'Data Sheet'!H67</f>
        <v>3079</v>
      </c>
      <c r="I17" s="21">
        <f>'Data Sheet'!I67</f>
        <v>2997</v>
      </c>
      <c r="J17" s="21">
        <f>'Data Sheet'!J67</f>
        <v>3819</v>
      </c>
      <c r="K17" s="21">
        <f>'Data Sheet'!K67</f>
        <v>3379</v>
      </c>
    </row>
    <row r="18" spans="1:11" x14ac:dyDescent="0.35">
      <c r="A18" s="11" t="s">
        <v>45</v>
      </c>
      <c r="B18" s="21">
        <f>'Data Sheet'!B68</f>
        <v>2541</v>
      </c>
      <c r="C18" s="21">
        <f>'Data Sheet'!C68</f>
        <v>2513</v>
      </c>
      <c r="D18" s="21">
        <f>'Data Sheet'!D68</f>
        <v>2574</v>
      </c>
      <c r="E18" s="21">
        <f>'Data Sheet'!E68</f>
        <v>2767</v>
      </c>
      <c r="F18" s="21">
        <f>'Data Sheet'!F68</f>
        <v>3579</v>
      </c>
      <c r="G18" s="21">
        <f>'Data Sheet'!G68</f>
        <v>4096</v>
      </c>
      <c r="H18" s="21">
        <f>'Data Sheet'!H68</f>
        <v>4251</v>
      </c>
      <c r="I18" s="21">
        <f>'Data Sheet'!I68</f>
        <v>4022</v>
      </c>
      <c r="J18" s="21">
        <f>'Data Sheet'!J68</f>
        <v>4415</v>
      </c>
      <c r="K18" s="21">
        <f>'Data Sheet'!K68</f>
        <v>4789</v>
      </c>
    </row>
    <row r="20" spans="1:11" x14ac:dyDescent="0.35">
      <c r="A20" s="11" t="s">
        <v>46</v>
      </c>
      <c r="B20" s="5">
        <f>IF('Profit &amp; Loss'!B4&gt;0,'Balance Sheet'!B17/('Profit &amp; Loss'!B4/365),0)</f>
        <v>11.942132561365419</v>
      </c>
      <c r="C20" s="5">
        <f>IF('Profit &amp; Loss'!C4&gt;0,'Balance Sheet'!C17/('Profit &amp; Loss'!C4/365),0)</f>
        <v>13.4519623013082</v>
      </c>
      <c r="D20" s="5">
        <f>IF('Profit &amp; Loss'!D4&gt;0,'Balance Sheet'!D17/('Profit &amp; Loss'!D4/365),0)</f>
        <v>16.861867209361485</v>
      </c>
      <c r="E20" s="5">
        <f>IF('Profit &amp; Loss'!E4&gt;0,'Balance Sheet'!E17/('Profit &amp; Loss'!E4/365),0)</f>
        <v>10.541814342809744</v>
      </c>
      <c r="F20" s="5">
        <f>IF('Profit &amp; Loss'!F4&gt;0,'Balance Sheet'!F17/('Profit &amp; Loss'!F4/365),0)</f>
        <v>13.644424598111764</v>
      </c>
      <c r="G20" s="5">
        <f>IF('Profit &amp; Loss'!G4&gt;0,'Balance Sheet'!G17/('Profit &amp; Loss'!G4/365),0)</f>
        <v>15.56152995461999</v>
      </c>
      <c r="H20" s="5">
        <f>IF('Profit &amp; Loss'!H4&gt;0,'Balance Sheet'!H17/('Profit &amp; Loss'!H4/365),0)</f>
        <v>18.551254539451964</v>
      </c>
      <c r="I20" s="5">
        <f>IF('Profit &amp; Loss'!I4&gt;0,'Balance Sheet'!I17/('Profit &amp; Loss'!I4/365),0)</f>
        <v>17.673274525009692</v>
      </c>
      <c r="J20" s="5">
        <f>IF('Profit &amp; Loss'!J4&gt;0,'Balance Sheet'!J17/('Profit &amp; Loss'!J4/365),0)</f>
        <v>22.729177537177147</v>
      </c>
      <c r="K20" s="5">
        <f>IF('Profit &amp; Loss'!K4&gt;0,'Balance Sheet'!K17/('Profit &amp; Loss'!K4/365),0)</f>
        <v>19.130964199292674</v>
      </c>
    </row>
    <row r="21" spans="1:11" x14ac:dyDescent="0.35">
      <c r="A21" s="11" t="s">
        <v>47</v>
      </c>
      <c r="B21" s="5">
        <f>IF('Balance Sheet'!B18&gt;0,'Profit &amp; Loss'!B4/'Balance Sheet'!B18,0)</f>
        <v>13.050767414403778</v>
      </c>
      <c r="C21" s="5">
        <f>IF('Balance Sheet'!C18&gt;0,'Profit &amp; Loss'!C4/'Balance Sheet'!C18,0)</f>
        <v>14.144448865897333</v>
      </c>
      <c r="D21" s="5">
        <f>IF('Balance Sheet'!D18&gt;0,'Profit &amp; Loss'!D4/'Balance Sheet'!D18,0)</f>
        <v>15.271950271950272</v>
      </c>
      <c r="E21" s="5">
        <f>IF('Balance Sheet'!E18&gt;0,'Profit &amp; Loss'!E4/'Balance Sheet'!E18,0)</f>
        <v>14.377665341525118</v>
      </c>
      <c r="F21" s="5">
        <f>IF('Balance Sheet'!F18&gt;0,'Profit &amp; Loss'!F4/'Balance Sheet'!F18,0)</f>
        <v>13.139983235540655</v>
      </c>
      <c r="G21" s="5">
        <f>IF('Balance Sheet'!G18&gt;0,'Profit &amp; Loss'!G4/'Balance Sheet'!G18,0)</f>
        <v>12.80419921875</v>
      </c>
      <c r="H21" s="5">
        <f>IF('Balance Sheet'!H18&gt;0,'Profit &amp; Loss'!H4/'Balance Sheet'!H18,0)</f>
        <v>14.250764525993883</v>
      </c>
      <c r="I21" s="5">
        <f>IF('Balance Sheet'!I18&gt;0,'Profit &amp; Loss'!I4/'Balance Sheet'!I18,0)</f>
        <v>15.389358528095475</v>
      </c>
      <c r="J21" s="5">
        <f>IF('Balance Sheet'!J18&gt;0,'Profit &amp; Loss'!J4/'Balance Sheet'!J18,0)</f>
        <v>13.890826727066818</v>
      </c>
      <c r="K21" s="5">
        <f>IF('Balance Sheet'!K18&gt;0,'Profit &amp; Loss'!K4/'Balance Sheet'!K18,0)</f>
        <v>13.461683023595739</v>
      </c>
    </row>
    <row r="23" spans="1:11" s="8" customFormat="1" x14ac:dyDescent="0.35">
      <c r="A23" s="8" t="s">
        <v>59</v>
      </c>
      <c r="B23" s="14">
        <f>IF(SUM('Balance Sheet'!B4:B5)&gt;0,'Profit &amp; Loss'!B12/SUM('Balance Sheet'!B4:B5),"")</f>
        <v>0.66370106761565839</v>
      </c>
      <c r="C23" s="14">
        <f>IF(SUM('Balance Sheet'!C4:C5)&gt;0,'Profit &amp; Loss'!C12/SUM('Balance Sheet'!C4:C5),"")</f>
        <v>0.71611042439225381</v>
      </c>
      <c r="D23" s="14">
        <f>IF(SUM('Balance Sheet'!D4:D5)&gt;0,'Profit &amp; Loss'!D12/SUM('Balance Sheet'!D4:D5),"")</f>
        <v>0.76954366340409308</v>
      </c>
      <c r="E23" s="14">
        <f>IF(SUM('Balance Sheet'!E4:E5)&gt;0,'Profit &amp; Loss'!E12/SUM('Balance Sheet'!E4:E5),"")</f>
        <v>0.82002673471867782</v>
      </c>
      <c r="F23" s="14">
        <f>IF(SUM('Balance Sheet'!F4:F5)&gt;0,'Profit &amp; Loss'!F12/SUM('Balance Sheet'!F4:F5),"")</f>
        <v>0.16770147250073414</v>
      </c>
      <c r="G23" s="14">
        <f>IF(SUM('Balance Sheet'!G4:G5)&gt;0,'Profit &amp; Loss'!G12/SUM('Balance Sheet'!G4:G5),"")</f>
        <v>0.18097878151688715</v>
      </c>
      <c r="H23" s="14">
        <f>IF(SUM('Balance Sheet'!H4:H5)&gt;0,'Profit &amp; Loss'!H12/SUM('Balance Sheet'!H4:H5),"")</f>
        <v>0.201176844783715</v>
      </c>
      <c r="I23" s="14">
        <f>IF(SUM('Balance Sheet'!I4:I5)&gt;0,'Profit &amp; Loss'!I12/SUM('Balance Sheet'!I4:I5),"")</f>
        <v>0.20065211449099926</v>
      </c>
      <c r="J23" s="14">
        <f>IF(SUM('Balance Sheet'!J4:J5)&gt;0,'Profit &amp; Loss'!J12/SUM('Balance Sheet'!J4:J5),"")</f>
        <v>0.21555807457187967</v>
      </c>
      <c r="K23" s="14">
        <f>IF(SUM('Balance Sheet'!K4:K5)&gt;0,'Profit &amp; Loss'!K12/SUM('Balance Sheet'!K4:K5),"")</f>
        <v>0.3085824493731919</v>
      </c>
    </row>
    <row r="24" spans="1:11" s="8" customFormat="1" x14ac:dyDescent="0.35">
      <c r="A24" s="8" t="s">
        <v>60</v>
      </c>
      <c r="B24" s="14"/>
      <c r="C24" s="14">
        <f>IF((B4+B5+B6+C4+C5+C6)&gt;0,('Profit &amp; Loss'!C10+'Profit &amp; Loss'!C9)*2/(B4+B5+B6+C4+C5+C6),"")</f>
        <v>1.0253111452943644</v>
      </c>
      <c r="D24" s="14">
        <f>IF((C4+C5+C6+D4+D5+D6)&gt;0,('Profit &amp; Loss'!D10+'Profit &amp; Loss'!D9)*2/(C4+C5+C6+D4+D5+D6),"")</f>
        <v>1.1329441857414573</v>
      </c>
      <c r="E24" s="14">
        <f>IF((D4+D5+D6+E4+E5+E6)&gt;0,('Profit &amp; Loss'!E10+'Profit &amp; Loss'!E9)*2/(D4+D5+D6+E4+E5+E6),"")</f>
        <v>1.1464032108675517</v>
      </c>
      <c r="F24" s="14">
        <f>IF((E4+E5+E6+F4+F5+F6)&gt;0,('Profit &amp; Loss'!F10+'Profit &amp; Loss'!F9)*2/(E4+E5+E6+F4+F5+F6),"")</f>
        <v>0.38359300931971452</v>
      </c>
      <c r="G24" s="14">
        <f>IF((F4+F5+F6+G4+G5+G6)&gt;0,('Profit &amp; Loss'!G10+'Profit &amp; Loss'!G9)*2/(F4+F5+F6+G4+G5+G6),"")</f>
        <v>0.2451471701200679</v>
      </c>
      <c r="H24" s="14">
        <f>IF((G4+G5+G6+H4+H5+H6)&gt;0,('Profit &amp; Loss'!H10+'Profit &amp; Loss'!H9)*2/(G4+G5+G6+H4+H5+H6),"")</f>
        <v>0.26485087624351794</v>
      </c>
      <c r="I24" s="14">
        <f>IF((H4+H5+H6+I4+I5+I6)&gt;0,('Profit &amp; Loss'!I10+'Profit &amp; Loss'!I9)*2/(H4+H5+H6+I4+I5+I6),"")</f>
        <v>0.27363876229311584</v>
      </c>
      <c r="J24" s="14">
        <f>IF((I4+I5+I6+J4+J5+J6)&gt;0,('Profit &amp; Loss'!J10+'Profit &amp; Loss'!J9)*2/(I4+I5+I6+J4+J5+J6),"")</f>
        <v>0.28529570514303337</v>
      </c>
      <c r="K24" s="14">
        <f>IF((J4+J5+J6+K4+K5+K6)&gt;0,('Profit &amp; Loss'!K10+'Profit &amp; Loss'!K9)*2/(J4+J5+J6+K4+K5+K6),"")</f>
        <v>0.36791847294775198</v>
      </c>
    </row>
    <row r="25" spans="1:11" s="18" customFormat="1" x14ac:dyDescent="0.35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6.81640625" style="6" bestFit="1" customWidth="1"/>
    <col min="2" max="6" width="13.453125" style="6" customWidth="1"/>
    <col min="7" max="11" width="13.453125" style="6" bestFit="1" customWidth="1"/>
    <col min="12" max="16384" width="8.81640625" style="6"/>
  </cols>
  <sheetData>
    <row r="1" spans="1:11" s="8" customFormat="1" x14ac:dyDescent="0.35">
      <c r="A1" s="8" t="str">
        <f>'Balance Sheet'!A1</f>
        <v>HINDUSTAN UNILEVER LTD</v>
      </c>
      <c r="E1" t="str">
        <f>UPDATE</f>
        <v/>
      </c>
      <c r="F1"/>
      <c r="J1" s="4" t="s">
        <v>1</v>
      </c>
      <c r="K1" s="4"/>
    </row>
    <row r="3" spans="1:11" s="2" customFormat="1" x14ac:dyDescent="0.35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5">
      <c r="A4" s="8" t="s">
        <v>32</v>
      </c>
      <c r="B4" s="1">
        <f>'Data Sheet'!B82</f>
        <v>5185</v>
      </c>
      <c r="C4" s="1">
        <f>'Data Sheet'!C82</f>
        <v>6059</v>
      </c>
      <c r="D4" s="1">
        <f>'Data Sheet'!D82</f>
        <v>5800</v>
      </c>
      <c r="E4" s="1">
        <f>'Data Sheet'!E82</f>
        <v>7623</v>
      </c>
      <c r="F4" s="1">
        <f>'Data Sheet'!F82</f>
        <v>9163</v>
      </c>
      <c r="G4" s="1">
        <f>'Data Sheet'!G82</f>
        <v>9048</v>
      </c>
      <c r="H4" s="1">
        <f>'Data Sheet'!H82</f>
        <v>9991</v>
      </c>
      <c r="I4" s="1">
        <f>'Data Sheet'!I82</f>
        <v>15469</v>
      </c>
      <c r="J4" s="1">
        <f>'Data Sheet'!J82</f>
        <v>11886</v>
      </c>
      <c r="K4" s="1">
        <f>'Data Sheet'!K82</f>
        <v>10999</v>
      </c>
    </row>
    <row r="5" spans="1:11" x14ac:dyDescent="0.35">
      <c r="A5" s="6" t="s">
        <v>33</v>
      </c>
      <c r="B5" s="9">
        <f>'Data Sheet'!B83</f>
        <v>-1173</v>
      </c>
      <c r="C5" s="9">
        <f>'Data Sheet'!C83</f>
        <v>-1063</v>
      </c>
      <c r="D5" s="9">
        <f>'Data Sheet'!D83</f>
        <v>-438</v>
      </c>
      <c r="E5" s="9">
        <f>'Data Sheet'!E83</f>
        <v>1791</v>
      </c>
      <c r="F5" s="9">
        <f>'Data Sheet'!F83</f>
        <v>-1228</v>
      </c>
      <c r="G5" s="9">
        <f>'Data Sheet'!G83</f>
        <v>-1728</v>
      </c>
      <c r="H5" s="9">
        <f>'Data Sheet'!H83</f>
        <v>-1484</v>
      </c>
      <c r="I5" s="9">
        <f>'Data Sheet'!I83</f>
        <v>-5324</v>
      </c>
      <c r="J5" s="9">
        <f>'Data Sheet'!J83</f>
        <v>6473</v>
      </c>
      <c r="K5" s="9">
        <f>'Data Sheet'!K83</f>
        <v>-3676</v>
      </c>
    </row>
    <row r="6" spans="1:11" x14ac:dyDescent="0.35">
      <c r="A6" s="6" t="s">
        <v>34</v>
      </c>
      <c r="B6" s="9">
        <f>'Data Sheet'!B84</f>
        <v>-4214</v>
      </c>
      <c r="C6" s="9">
        <f>'Data Sheet'!C84</f>
        <v>-4975</v>
      </c>
      <c r="D6" s="9">
        <f>'Data Sheet'!D84</f>
        <v>-5390</v>
      </c>
      <c r="E6" s="9">
        <f>'Data Sheet'!E84</f>
        <v>-6819</v>
      </c>
      <c r="F6" s="9">
        <f>'Data Sheet'!F84</f>
        <v>-9309</v>
      </c>
      <c r="G6" s="9">
        <f>'Data Sheet'!G84</f>
        <v>-8015</v>
      </c>
      <c r="H6" s="9">
        <f>'Data Sheet'!H84</f>
        <v>-8953</v>
      </c>
      <c r="I6" s="9">
        <f>'Data Sheet'!I84</f>
        <v>-10034</v>
      </c>
      <c r="J6" s="9">
        <f>'Data Sheet'!J84</f>
        <v>-13101</v>
      </c>
      <c r="K6" s="9">
        <f>'Data Sheet'!K84</f>
        <v>-10810</v>
      </c>
    </row>
    <row r="7" spans="1:11" s="8" customFormat="1" x14ac:dyDescent="0.35">
      <c r="A7" s="8" t="s">
        <v>35</v>
      </c>
      <c r="B7" s="1">
        <f>'Data Sheet'!B85</f>
        <v>-202</v>
      </c>
      <c r="C7" s="1">
        <f>'Data Sheet'!C85</f>
        <v>21</v>
      </c>
      <c r="D7" s="1">
        <f>'Data Sheet'!D85</f>
        <v>-28</v>
      </c>
      <c r="E7" s="1">
        <f>'Data Sheet'!E85</f>
        <v>2595</v>
      </c>
      <c r="F7" s="1">
        <f>'Data Sheet'!F85</f>
        <v>-1374</v>
      </c>
      <c r="G7" s="1">
        <f>'Data Sheet'!G85</f>
        <v>-695</v>
      </c>
      <c r="H7" s="1">
        <f>'Data Sheet'!H85</f>
        <v>-446</v>
      </c>
      <c r="I7" s="1">
        <f>'Data Sheet'!I85</f>
        <v>111</v>
      </c>
      <c r="J7" s="1">
        <f>'Data Sheet'!J85</f>
        <v>5258</v>
      </c>
      <c r="K7" s="1">
        <f>'Data Sheet'!K85</f>
        <v>-3487</v>
      </c>
    </row>
    <row r="8" spans="1:11" x14ac:dyDescent="0.35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5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640625" defaultRowHeight="14.5" x14ac:dyDescent="0.35"/>
  <cols>
    <col min="1" max="1" width="8.81640625" style="8"/>
    <col min="2" max="2" width="10.453125" style="11" customWidth="1"/>
    <col min="3" max="3" width="13.36328125" style="26" customWidth="1"/>
    <col min="4" max="5" width="8.81640625" style="11"/>
    <col min="6" max="6" width="6.81640625" style="11" customWidth="1"/>
    <col min="7" max="16384" width="8.81640625" style="11"/>
  </cols>
  <sheetData>
    <row r="1" spans="1:7" ht="21" x14ac:dyDescent="0.5">
      <c r="A1" s="25" t="s">
        <v>56</v>
      </c>
    </row>
    <row r="3" spans="1:7" x14ac:dyDescent="0.35">
      <c r="A3" s="8" t="s">
        <v>48</v>
      </c>
    </row>
    <row r="4" spans="1:7" x14ac:dyDescent="0.35">
      <c r="B4" s="11" t="s">
        <v>90</v>
      </c>
    </row>
    <row r="5" spans="1:7" x14ac:dyDescent="0.35">
      <c r="B5" s="11" t="s">
        <v>49</v>
      </c>
    </row>
    <row r="7" spans="1:7" x14ac:dyDescent="0.35">
      <c r="A7" s="8" t="s">
        <v>50</v>
      </c>
    </row>
    <row r="8" spans="1:7" x14ac:dyDescent="0.35">
      <c r="B8" s="11" t="s">
        <v>51</v>
      </c>
      <c r="C8" s="27" t="s">
        <v>91</v>
      </c>
    </row>
    <row r="10" spans="1:7" x14ac:dyDescent="0.35">
      <c r="A10" s="8" t="s">
        <v>52</v>
      </c>
    </row>
    <row r="11" spans="1:7" x14ac:dyDescent="0.35">
      <c r="B11" s="11" t="s">
        <v>53</v>
      </c>
    </row>
    <row r="14" spans="1:7" x14ac:dyDescent="0.35">
      <c r="A14" s="8" t="s">
        <v>54</v>
      </c>
    </row>
    <row r="15" spans="1:7" x14ac:dyDescent="0.35">
      <c r="B15" s="11" t="s">
        <v>55</v>
      </c>
    </row>
    <row r="16" spans="1:7" x14ac:dyDescent="0.35">
      <c r="B16" s="11" t="s">
        <v>92</v>
      </c>
      <c r="G16" s="28"/>
    </row>
  </sheetData>
  <hyperlinks>
    <hyperlink ref="C8" r:id="rId1" display=" http://www.screener.in/excel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62" zoomScaleNormal="120" zoomScalePageLayoutView="120" workbookViewId="0">
      <pane xSplit="1" ySplit="1" topLeftCell="B50" activePane="bottomRight" state="frozen"/>
      <selection activeCell="C4" sqref="C4"/>
      <selection pane="topRight" activeCell="C4" sqref="C4"/>
      <selection pane="bottomLeft" activeCell="C4" sqref="C4"/>
      <selection pane="bottomRight" activeCell="M66" sqref="M66"/>
    </sheetView>
  </sheetViews>
  <sheetFormatPr defaultColWidth="8.81640625" defaultRowHeight="14.5" x14ac:dyDescent="0.35"/>
  <cols>
    <col min="1" max="1" width="27.6328125" style="5" bestFit="1" customWidth="1"/>
    <col min="2" max="11" width="13.453125" style="5" bestFit="1" customWidth="1"/>
    <col min="12" max="16384" width="8.81640625" style="5"/>
  </cols>
  <sheetData>
    <row r="1" spans="1:11" s="1" customFormat="1" x14ac:dyDescent="0.35">
      <c r="A1" s="1" t="s">
        <v>0</v>
      </c>
      <c r="B1" s="1" t="s">
        <v>63</v>
      </c>
      <c r="E1" s="173" t="str">
        <f>IF(B2&lt;&gt;B3, "A NEW VERSION OF THE WORKSHEET IS AVAILABLE", "")</f>
        <v/>
      </c>
      <c r="F1" s="173"/>
      <c r="G1" s="173"/>
      <c r="H1" s="173"/>
      <c r="I1" s="173"/>
      <c r="J1" s="173"/>
      <c r="K1" s="173"/>
    </row>
    <row r="2" spans="1:11" x14ac:dyDescent="0.35">
      <c r="A2" s="1" t="s">
        <v>61</v>
      </c>
      <c r="B2" s="5">
        <v>2.1</v>
      </c>
      <c r="E2" s="174" t="s">
        <v>36</v>
      </c>
      <c r="F2" s="174"/>
      <c r="G2" s="174"/>
      <c r="H2" s="174"/>
      <c r="I2" s="174"/>
      <c r="J2" s="174"/>
      <c r="K2" s="174"/>
    </row>
    <row r="3" spans="1:11" x14ac:dyDescent="0.35">
      <c r="A3" s="1" t="s">
        <v>62</v>
      </c>
      <c r="B3" s="5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5" t="s">
        <v>42</v>
      </c>
      <c r="B6" s="5">
        <f>IF(B9&gt;0, B9/B8, 0)</f>
        <v>234.95914033457248</v>
      </c>
    </row>
    <row r="7" spans="1:11" x14ac:dyDescent="0.35">
      <c r="A7" s="5" t="s">
        <v>31</v>
      </c>
      <c r="B7">
        <v>1</v>
      </c>
    </row>
    <row r="8" spans="1:11" x14ac:dyDescent="0.35">
      <c r="A8" s="5" t="s">
        <v>43</v>
      </c>
      <c r="B8">
        <v>2152</v>
      </c>
    </row>
    <row r="9" spans="1:11" x14ac:dyDescent="0.35">
      <c r="A9" s="5" t="s">
        <v>79</v>
      </c>
      <c r="B9">
        <v>505632.07</v>
      </c>
    </row>
    <row r="14" spans="1:11" x14ac:dyDescent="0.35">
      <c r="B14" s="153"/>
    </row>
    <row r="15" spans="1:11" x14ac:dyDescent="0.35">
      <c r="A15" s="1" t="s">
        <v>37</v>
      </c>
    </row>
    <row r="16" spans="1:11" s="24" customFormat="1" x14ac:dyDescent="0.35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5">
      <c r="A17" s="9" t="s">
        <v>6</v>
      </c>
      <c r="B17">
        <v>33162</v>
      </c>
      <c r="C17">
        <v>35545</v>
      </c>
      <c r="D17">
        <v>39310</v>
      </c>
      <c r="E17">
        <v>39783</v>
      </c>
      <c r="F17">
        <v>47028</v>
      </c>
      <c r="G17">
        <v>52446</v>
      </c>
      <c r="H17">
        <v>60580</v>
      </c>
      <c r="I17">
        <v>61896</v>
      </c>
      <c r="J17">
        <v>61328</v>
      </c>
      <c r="K17">
        <v>64468</v>
      </c>
    </row>
    <row r="18" spans="1:11" s="9" customFormat="1" x14ac:dyDescent="0.35">
      <c r="A18" s="5" t="s">
        <v>80</v>
      </c>
      <c r="B18">
        <v>13606</v>
      </c>
      <c r="C18">
        <v>14233</v>
      </c>
      <c r="D18">
        <v>15845</v>
      </c>
      <c r="E18">
        <v>15697</v>
      </c>
      <c r="F18">
        <v>20141</v>
      </c>
      <c r="G18">
        <v>22871</v>
      </c>
      <c r="H18">
        <v>28427</v>
      </c>
      <c r="I18">
        <v>26822</v>
      </c>
      <c r="J18">
        <v>26602</v>
      </c>
      <c r="K18">
        <v>29158</v>
      </c>
    </row>
    <row r="19" spans="1:11" s="9" customFormat="1" x14ac:dyDescent="0.35">
      <c r="A19" s="5" t="s">
        <v>81</v>
      </c>
      <c r="B19">
        <v>-144</v>
      </c>
      <c r="C19">
        <v>72</v>
      </c>
      <c r="D19">
        <v>-12</v>
      </c>
      <c r="E19">
        <v>108</v>
      </c>
      <c r="F19">
        <v>405</v>
      </c>
      <c r="G19">
        <v>22</v>
      </c>
      <c r="H19">
        <v>75</v>
      </c>
      <c r="I19">
        <v>11</v>
      </c>
      <c r="J19">
        <v>125</v>
      </c>
      <c r="K19">
        <v>429</v>
      </c>
    </row>
    <row r="20" spans="1:11" s="9" customFormat="1" x14ac:dyDescent="0.35">
      <c r="A20" s="5" t="s">
        <v>82</v>
      </c>
      <c r="B20">
        <v>295</v>
      </c>
      <c r="C20">
        <v>295</v>
      </c>
      <c r="D20">
        <v>308</v>
      </c>
      <c r="E20">
        <v>299</v>
      </c>
      <c r="F20">
        <v>339</v>
      </c>
      <c r="G20">
        <v>318</v>
      </c>
      <c r="H20">
        <v>384</v>
      </c>
      <c r="I20">
        <v>446</v>
      </c>
      <c r="J20">
        <v>403</v>
      </c>
      <c r="K20">
        <v>426</v>
      </c>
    </row>
    <row r="21" spans="1:11" s="9" customFormat="1" x14ac:dyDescent="0.35">
      <c r="A21" s="5" t="s">
        <v>83</v>
      </c>
      <c r="B21">
        <v>2887</v>
      </c>
      <c r="C21">
        <v>2998</v>
      </c>
      <c r="D21">
        <v>3041</v>
      </c>
      <c r="E21">
        <v>2906</v>
      </c>
      <c r="F21">
        <v>2868</v>
      </c>
      <c r="G21">
        <v>3354</v>
      </c>
      <c r="H21">
        <v>3791</v>
      </c>
      <c r="I21">
        <v>3385</v>
      </c>
      <c r="J21">
        <v>3687</v>
      </c>
      <c r="K21">
        <v>3304</v>
      </c>
    </row>
    <row r="22" spans="1:11" s="9" customFormat="1" x14ac:dyDescent="0.35">
      <c r="A22" s="5" t="s">
        <v>84</v>
      </c>
      <c r="B22">
        <v>1743</v>
      </c>
      <c r="C22">
        <v>1860</v>
      </c>
      <c r="D22">
        <v>1875</v>
      </c>
      <c r="E22">
        <v>1820</v>
      </c>
      <c r="F22">
        <v>2358</v>
      </c>
      <c r="G22">
        <v>2545</v>
      </c>
      <c r="H22">
        <v>2854</v>
      </c>
      <c r="I22">
        <v>3009</v>
      </c>
      <c r="J22">
        <v>2952</v>
      </c>
      <c r="K22">
        <v>3175</v>
      </c>
    </row>
    <row r="23" spans="1:11" s="9" customFormat="1" x14ac:dyDescent="0.35">
      <c r="A23" s="5" t="s">
        <v>85</v>
      </c>
      <c r="B23">
        <v>6689</v>
      </c>
      <c r="C23">
        <v>7252</v>
      </c>
      <c r="D23">
        <v>7796</v>
      </c>
      <c r="E23">
        <v>7620</v>
      </c>
      <c r="F23">
        <v>7906</v>
      </c>
      <c r="G23">
        <v>8164</v>
      </c>
      <c r="H23">
        <v>8785</v>
      </c>
      <c r="I23">
        <v>10780</v>
      </c>
      <c r="J23">
        <v>10145</v>
      </c>
      <c r="K23">
        <v>10744</v>
      </c>
    </row>
    <row r="24" spans="1:11" s="9" customFormat="1" x14ac:dyDescent="0.35">
      <c r="A24" s="5" t="s">
        <v>86</v>
      </c>
      <c r="B24">
        <v>1470</v>
      </c>
      <c r="C24">
        <v>1480</v>
      </c>
      <c r="D24">
        <v>1553</v>
      </c>
      <c r="E24">
        <v>1688</v>
      </c>
      <c r="F24">
        <v>2195</v>
      </c>
      <c r="G24">
        <v>2359</v>
      </c>
      <c r="H24">
        <v>2267</v>
      </c>
      <c r="I24">
        <v>2806</v>
      </c>
      <c r="J24">
        <v>2966</v>
      </c>
      <c r="K24">
        <v>3051</v>
      </c>
    </row>
    <row r="25" spans="1:11" s="9" customFormat="1" x14ac:dyDescent="0.35">
      <c r="A25" s="9" t="s">
        <v>9</v>
      </c>
      <c r="B25">
        <v>606</v>
      </c>
      <c r="C25">
        <v>353</v>
      </c>
      <c r="D25">
        <v>322</v>
      </c>
      <c r="E25">
        <v>424</v>
      </c>
      <c r="F25">
        <v>170</v>
      </c>
      <c r="G25">
        <v>219</v>
      </c>
      <c r="H25">
        <v>448</v>
      </c>
      <c r="I25">
        <v>817</v>
      </c>
      <c r="J25">
        <v>1355</v>
      </c>
      <c r="K25">
        <v>4923</v>
      </c>
    </row>
    <row r="26" spans="1:11" s="9" customFormat="1" x14ac:dyDescent="0.35">
      <c r="A26" s="9" t="s">
        <v>10</v>
      </c>
      <c r="B26">
        <v>432</v>
      </c>
      <c r="C26">
        <v>520</v>
      </c>
      <c r="D26">
        <v>565</v>
      </c>
      <c r="E26">
        <v>1002</v>
      </c>
      <c r="F26">
        <v>1074</v>
      </c>
      <c r="G26">
        <v>1091</v>
      </c>
      <c r="H26">
        <v>1137</v>
      </c>
      <c r="I26">
        <v>1216</v>
      </c>
      <c r="J26">
        <v>1253</v>
      </c>
      <c r="K26">
        <v>1333</v>
      </c>
    </row>
    <row r="27" spans="1:11" s="9" customFormat="1" x14ac:dyDescent="0.35">
      <c r="A27" s="9" t="s">
        <v>11</v>
      </c>
      <c r="B27">
        <v>35</v>
      </c>
      <c r="C27">
        <v>26</v>
      </c>
      <c r="D27">
        <v>33</v>
      </c>
      <c r="E27">
        <v>118</v>
      </c>
      <c r="F27">
        <v>117</v>
      </c>
      <c r="G27">
        <v>106</v>
      </c>
      <c r="H27">
        <v>114</v>
      </c>
      <c r="I27">
        <v>334</v>
      </c>
      <c r="J27">
        <v>381</v>
      </c>
      <c r="K27">
        <v>410</v>
      </c>
    </row>
    <row r="28" spans="1:11" s="9" customFormat="1" x14ac:dyDescent="0.35">
      <c r="A28" s="9" t="s">
        <v>12</v>
      </c>
      <c r="B28">
        <v>6467</v>
      </c>
      <c r="C28">
        <v>7306</v>
      </c>
      <c r="D28">
        <v>8604</v>
      </c>
      <c r="E28">
        <v>9165</v>
      </c>
      <c r="F28">
        <v>10605</v>
      </c>
      <c r="G28">
        <v>11879</v>
      </c>
      <c r="H28">
        <v>13344</v>
      </c>
      <c r="I28">
        <v>13926</v>
      </c>
      <c r="J28">
        <v>14419</v>
      </c>
      <c r="K28">
        <v>18219</v>
      </c>
    </row>
    <row r="29" spans="1:11" s="9" customFormat="1" x14ac:dyDescent="0.35">
      <c r="A29" s="9" t="s">
        <v>13</v>
      </c>
      <c r="B29">
        <v>1977</v>
      </c>
      <c r="C29">
        <v>2079</v>
      </c>
      <c r="D29">
        <v>2544</v>
      </c>
      <c r="E29">
        <v>2409</v>
      </c>
      <c r="F29">
        <v>2606</v>
      </c>
      <c r="G29">
        <v>2987</v>
      </c>
      <c r="H29">
        <v>3201</v>
      </c>
      <c r="I29">
        <v>3644</v>
      </c>
      <c r="J29">
        <v>3748</v>
      </c>
      <c r="K29">
        <v>3160</v>
      </c>
    </row>
    <row r="30" spans="1:11" s="9" customFormat="1" x14ac:dyDescent="0.35">
      <c r="A30" s="9" t="s">
        <v>14</v>
      </c>
      <c r="B30">
        <v>4476</v>
      </c>
      <c r="C30">
        <v>5214</v>
      </c>
      <c r="D30">
        <v>6054</v>
      </c>
      <c r="E30">
        <v>6748</v>
      </c>
      <c r="F30">
        <v>7995</v>
      </c>
      <c r="G30">
        <v>8879</v>
      </c>
      <c r="H30">
        <v>10120</v>
      </c>
      <c r="I30">
        <v>10277</v>
      </c>
      <c r="J30">
        <v>10649</v>
      </c>
      <c r="K30">
        <v>15040</v>
      </c>
    </row>
    <row r="31" spans="1:11" s="9" customFormat="1" x14ac:dyDescent="0.35">
      <c r="A31" s="9" t="s">
        <v>70</v>
      </c>
      <c r="B31">
        <v>3672</v>
      </c>
      <c r="C31">
        <v>4320</v>
      </c>
      <c r="D31">
        <v>4752</v>
      </c>
      <c r="E31">
        <v>5400</v>
      </c>
      <c r="F31">
        <v>9517.5</v>
      </c>
      <c r="G31">
        <v>7990</v>
      </c>
      <c r="H31">
        <v>9165</v>
      </c>
      <c r="I31">
        <v>9870</v>
      </c>
      <c r="J31">
        <v>12455</v>
      </c>
      <c r="K31">
        <v>9635</v>
      </c>
    </row>
    <row r="32" spans="1:11" s="9" customFormat="1" x14ac:dyDescent="0.35">
      <c r="A32" s="5" t="s">
        <v>101</v>
      </c>
      <c r="B32" s="9">
        <f>SUM(B26:B28)</f>
        <v>6934</v>
      </c>
      <c r="C32" s="9">
        <f t="shared" ref="C32:K32" si="0">SUM(C26:C28)</f>
        <v>7852</v>
      </c>
      <c r="D32" s="9">
        <f t="shared" si="0"/>
        <v>9202</v>
      </c>
      <c r="E32" s="9">
        <f t="shared" si="0"/>
        <v>10285</v>
      </c>
      <c r="F32" s="9">
        <f t="shared" si="0"/>
        <v>11796</v>
      </c>
      <c r="G32" s="9">
        <f t="shared" si="0"/>
        <v>13076</v>
      </c>
      <c r="H32" s="9">
        <f t="shared" si="0"/>
        <v>14595</v>
      </c>
      <c r="I32" s="9">
        <f t="shared" si="0"/>
        <v>15476</v>
      </c>
      <c r="J32" s="9">
        <f t="shared" si="0"/>
        <v>16053</v>
      </c>
      <c r="K32" s="9">
        <f t="shared" si="0"/>
        <v>19962</v>
      </c>
    </row>
    <row r="33" spans="1:11" x14ac:dyDescent="0.35">
      <c r="A33" s="5" t="s">
        <v>104</v>
      </c>
      <c r="B33" s="5">
        <f>SUM(B27:B28)</f>
        <v>6502</v>
      </c>
      <c r="C33" s="5">
        <f t="shared" ref="C33:K33" si="1">SUM(C27:C28)</f>
        <v>7332</v>
      </c>
      <c r="D33" s="5">
        <f t="shared" si="1"/>
        <v>8637</v>
      </c>
      <c r="E33" s="5">
        <f t="shared" si="1"/>
        <v>9283</v>
      </c>
      <c r="F33" s="5">
        <f t="shared" si="1"/>
        <v>10722</v>
      </c>
      <c r="G33" s="5">
        <f t="shared" si="1"/>
        <v>11985</v>
      </c>
      <c r="H33" s="5">
        <f t="shared" si="1"/>
        <v>13458</v>
      </c>
      <c r="I33" s="5">
        <f t="shared" si="1"/>
        <v>14260</v>
      </c>
      <c r="J33" s="5">
        <f t="shared" si="1"/>
        <v>14800</v>
      </c>
      <c r="K33" s="5">
        <f t="shared" si="1"/>
        <v>18629</v>
      </c>
    </row>
    <row r="34" spans="1:11" x14ac:dyDescent="0.35">
      <c r="A34" s="9"/>
    </row>
    <row r="35" spans="1:11" x14ac:dyDescent="0.35">
      <c r="A35" s="9"/>
    </row>
    <row r="36" spans="1:11" x14ac:dyDescent="0.35">
      <c r="A36" s="9"/>
    </row>
    <row r="37" spans="1:11" x14ac:dyDescent="0.35">
      <c r="A37" s="9"/>
    </row>
    <row r="38" spans="1:11" x14ac:dyDescent="0.35">
      <c r="A38" s="9"/>
    </row>
    <row r="39" spans="1:11" x14ac:dyDescent="0.35">
      <c r="A39" s="9"/>
    </row>
    <row r="40" spans="1:11" x14ac:dyDescent="0.35">
      <c r="A40" s="1" t="s">
        <v>39</v>
      </c>
    </row>
    <row r="41" spans="1:11" s="24" customFormat="1" x14ac:dyDescent="0.35">
      <c r="A41" s="23" t="s">
        <v>38</v>
      </c>
      <c r="B41" s="16">
        <v>45291</v>
      </c>
      <c r="C41" s="16">
        <v>45382</v>
      </c>
      <c r="D41" s="16">
        <v>45473</v>
      </c>
      <c r="E41" s="16">
        <v>45565</v>
      </c>
      <c r="F41" s="16">
        <v>45657</v>
      </c>
      <c r="G41" s="16">
        <v>45747</v>
      </c>
      <c r="H41" s="16">
        <v>45838</v>
      </c>
      <c r="I41" s="16">
        <v>45930</v>
      </c>
      <c r="J41" s="16">
        <v>46022</v>
      </c>
      <c r="K41" s="16">
        <v>46112</v>
      </c>
    </row>
    <row r="42" spans="1:11" s="9" customFormat="1" x14ac:dyDescent="0.35">
      <c r="A42" s="9" t="s">
        <v>6</v>
      </c>
      <c r="B42">
        <v>15567</v>
      </c>
      <c r="C42">
        <v>15210</v>
      </c>
      <c r="D42">
        <v>15707</v>
      </c>
      <c r="E42">
        <v>15926</v>
      </c>
      <c r="F42">
        <v>15556</v>
      </c>
      <c r="G42">
        <v>15190</v>
      </c>
      <c r="H42">
        <v>16514</v>
      </c>
      <c r="I42">
        <v>15919</v>
      </c>
      <c r="J42">
        <v>16441</v>
      </c>
      <c r="K42">
        <v>16351</v>
      </c>
    </row>
    <row r="43" spans="1:11" s="9" customFormat="1" x14ac:dyDescent="0.35">
      <c r="A43" s="9" t="s">
        <v>7</v>
      </c>
      <c r="B43">
        <v>11902</v>
      </c>
      <c r="C43">
        <v>11675</v>
      </c>
      <c r="D43">
        <v>11965</v>
      </c>
      <c r="E43">
        <v>12139</v>
      </c>
      <c r="F43">
        <v>11867</v>
      </c>
      <c r="G43">
        <v>11572</v>
      </c>
      <c r="H43">
        <v>12797</v>
      </c>
      <c r="I43">
        <v>12137</v>
      </c>
      <c r="J43">
        <v>12660</v>
      </c>
      <c r="K43">
        <v>12514</v>
      </c>
    </row>
    <row r="44" spans="1:11" s="9" customFormat="1" x14ac:dyDescent="0.35">
      <c r="A44" s="9" t="s">
        <v>9</v>
      </c>
      <c r="B44">
        <v>184</v>
      </c>
      <c r="C44">
        <v>309</v>
      </c>
      <c r="D44">
        <v>209</v>
      </c>
      <c r="E44">
        <v>203</v>
      </c>
      <c r="F44">
        <v>733</v>
      </c>
      <c r="G44">
        <v>149</v>
      </c>
      <c r="H44">
        <v>74</v>
      </c>
      <c r="I44">
        <v>269</v>
      </c>
      <c r="J44">
        <v>4048</v>
      </c>
      <c r="K44">
        <v>503</v>
      </c>
    </row>
    <row r="45" spans="1:11" s="9" customFormat="1" x14ac:dyDescent="0.35">
      <c r="A45" s="9" t="s">
        <v>10</v>
      </c>
      <c r="B45">
        <v>313</v>
      </c>
      <c r="C45">
        <v>320</v>
      </c>
      <c r="D45">
        <v>329</v>
      </c>
      <c r="E45">
        <v>338</v>
      </c>
      <c r="F45">
        <v>318</v>
      </c>
      <c r="G45">
        <v>318</v>
      </c>
      <c r="H45">
        <v>361</v>
      </c>
      <c r="I45">
        <v>322</v>
      </c>
      <c r="J45">
        <v>337</v>
      </c>
      <c r="K45">
        <v>348</v>
      </c>
    </row>
    <row r="46" spans="1:11" s="9" customFormat="1" x14ac:dyDescent="0.35">
      <c r="A46" s="9" t="s">
        <v>11</v>
      </c>
      <c r="B46">
        <v>91</v>
      </c>
      <c r="C46">
        <v>105</v>
      </c>
      <c r="D46">
        <v>93</v>
      </c>
      <c r="E46">
        <v>110</v>
      </c>
      <c r="F46">
        <v>109</v>
      </c>
      <c r="G46">
        <v>77</v>
      </c>
      <c r="H46">
        <v>127</v>
      </c>
      <c r="I46">
        <v>124</v>
      </c>
      <c r="J46">
        <v>88</v>
      </c>
      <c r="K46">
        <v>76</v>
      </c>
    </row>
    <row r="47" spans="1:11" s="9" customFormat="1" x14ac:dyDescent="0.35">
      <c r="A47" s="9" t="s">
        <v>12</v>
      </c>
      <c r="B47">
        <v>3445</v>
      </c>
      <c r="C47">
        <v>3419</v>
      </c>
      <c r="D47">
        <v>3529</v>
      </c>
      <c r="E47">
        <v>3542</v>
      </c>
      <c r="F47">
        <v>3995</v>
      </c>
      <c r="G47">
        <v>3372</v>
      </c>
      <c r="H47">
        <v>3303</v>
      </c>
      <c r="I47">
        <v>3605</v>
      </c>
      <c r="J47">
        <v>7404</v>
      </c>
      <c r="K47">
        <v>3916</v>
      </c>
    </row>
    <row r="48" spans="1:11" s="9" customFormat="1" x14ac:dyDescent="0.35">
      <c r="A48" s="9" t="s">
        <v>13</v>
      </c>
      <c r="B48">
        <v>937</v>
      </c>
      <c r="C48">
        <v>858</v>
      </c>
      <c r="D48">
        <v>917</v>
      </c>
      <c r="E48">
        <v>947</v>
      </c>
      <c r="F48">
        <v>1006</v>
      </c>
      <c r="G48">
        <v>897</v>
      </c>
      <c r="H48">
        <v>535</v>
      </c>
      <c r="I48">
        <v>911</v>
      </c>
      <c r="J48">
        <v>801</v>
      </c>
      <c r="K48">
        <v>922</v>
      </c>
    </row>
    <row r="49" spans="1:11" s="9" customFormat="1" x14ac:dyDescent="0.35">
      <c r="A49" s="9" t="s">
        <v>14</v>
      </c>
      <c r="B49">
        <v>2509</v>
      </c>
      <c r="C49">
        <v>2558</v>
      </c>
      <c r="D49">
        <v>2610</v>
      </c>
      <c r="E49">
        <v>2591</v>
      </c>
      <c r="F49">
        <v>2984</v>
      </c>
      <c r="G49">
        <v>2464</v>
      </c>
      <c r="H49">
        <v>2756</v>
      </c>
      <c r="I49">
        <v>2685</v>
      </c>
      <c r="J49">
        <v>6607</v>
      </c>
      <c r="K49">
        <v>2992</v>
      </c>
    </row>
    <row r="50" spans="1:11" x14ac:dyDescent="0.35">
      <c r="A50" s="9" t="s">
        <v>8</v>
      </c>
      <c r="B50">
        <v>3665</v>
      </c>
      <c r="C50">
        <v>3535</v>
      </c>
      <c r="D50">
        <v>3742</v>
      </c>
      <c r="E50">
        <v>3787</v>
      </c>
      <c r="F50">
        <v>3689</v>
      </c>
      <c r="G50">
        <v>3618</v>
      </c>
      <c r="H50">
        <v>3717</v>
      </c>
      <c r="I50">
        <v>3782</v>
      </c>
      <c r="J50">
        <v>3781</v>
      </c>
      <c r="K50">
        <v>3837</v>
      </c>
    </row>
    <row r="51" spans="1:11" x14ac:dyDescent="0.35">
      <c r="A51" s="9"/>
    </row>
    <row r="52" spans="1:11" x14ac:dyDescent="0.35">
      <c r="A52" s="9"/>
    </row>
    <row r="53" spans="1:11" x14ac:dyDescent="0.35">
      <c r="A53" s="9"/>
    </row>
    <row r="54" spans="1:11" x14ac:dyDescent="0.35">
      <c r="A54" s="9"/>
    </row>
    <row r="55" spans="1:11" x14ac:dyDescent="0.35">
      <c r="A55" s="1" t="s">
        <v>40</v>
      </c>
    </row>
    <row r="56" spans="1:11" s="24" customFormat="1" x14ac:dyDescent="0.35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5">
      <c r="A57" s="9" t="s">
        <v>24</v>
      </c>
      <c r="B57">
        <v>216</v>
      </c>
      <c r="C57">
        <v>216</v>
      </c>
      <c r="D57">
        <v>216</v>
      </c>
      <c r="E57">
        <v>216</v>
      </c>
      <c r="F57">
        <v>235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5">
      <c r="A58" s="9" t="s">
        <v>25</v>
      </c>
      <c r="B58">
        <v>6528</v>
      </c>
      <c r="C58">
        <v>7065</v>
      </c>
      <c r="D58">
        <v>7651</v>
      </c>
      <c r="E58">
        <v>8013</v>
      </c>
      <c r="F58">
        <v>47439</v>
      </c>
      <c r="G58">
        <v>48826</v>
      </c>
      <c r="H58">
        <v>50069</v>
      </c>
      <c r="I58">
        <v>50983</v>
      </c>
      <c r="J58">
        <v>49167</v>
      </c>
      <c r="K58">
        <v>48504</v>
      </c>
    </row>
    <row r="59" spans="1:11" x14ac:dyDescent="0.35">
      <c r="A59" s="9" t="s">
        <v>71</v>
      </c>
      <c r="B59">
        <v>277</v>
      </c>
      <c r="D59">
        <v>99</v>
      </c>
      <c r="G59">
        <v>1043</v>
      </c>
      <c r="H59">
        <v>1219</v>
      </c>
      <c r="I59">
        <v>1484</v>
      </c>
      <c r="J59">
        <v>1648</v>
      </c>
      <c r="K59">
        <v>1478</v>
      </c>
    </row>
    <row r="60" spans="1:11" x14ac:dyDescent="0.35">
      <c r="A60" s="9" t="s">
        <v>72</v>
      </c>
      <c r="B60">
        <v>8685</v>
      </c>
      <c r="C60">
        <v>10581</v>
      </c>
      <c r="D60">
        <v>10663</v>
      </c>
      <c r="E60">
        <v>11924</v>
      </c>
      <c r="F60">
        <v>21066</v>
      </c>
      <c r="G60">
        <v>20402</v>
      </c>
      <c r="H60">
        <v>21554</v>
      </c>
      <c r="I60">
        <v>25787</v>
      </c>
      <c r="J60">
        <v>28813</v>
      </c>
      <c r="K60">
        <v>29521</v>
      </c>
    </row>
    <row r="61" spans="1:11" s="1" customFormat="1" x14ac:dyDescent="0.35">
      <c r="A61" s="1" t="s">
        <v>26</v>
      </c>
      <c r="B61">
        <v>15706</v>
      </c>
      <c r="C61">
        <v>17862</v>
      </c>
      <c r="D61">
        <v>18629</v>
      </c>
      <c r="E61">
        <v>20153</v>
      </c>
      <c r="F61">
        <v>68740</v>
      </c>
      <c r="G61">
        <v>70506</v>
      </c>
      <c r="H61">
        <v>73077</v>
      </c>
      <c r="I61">
        <v>78489</v>
      </c>
      <c r="J61">
        <v>79863</v>
      </c>
      <c r="K61">
        <v>79738</v>
      </c>
    </row>
    <row r="62" spans="1:11" x14ac:dyDescent="0.35">
      <c r="A62" s="9" t="s">
        <v>27</v>
      </c>
      <c r="B62">
        <v>4419</v>
      </c>
      <c r="C62">
        <v>4528</v>
      </c>
      <c r="D62">
        <v>4715</v>
      </c>
      <c r="E62">
        <v>5479</v>
      </c>
      <c r="F62">
        <v>51443</v>
      </c>
      <c r="G62">
        <v>51473</v>
      </c>
      <c r="H62">
        <v>52678</v>
      </c>
      <c r="I62">
        <v>53744</v>
      </c>
      <c r="J62">
        <v>54335</v>
      </c>
      <c r="K62">
        <v>57428</v>
      </c>
    </row>
    <row r="63" spans="1:11" x14ac:dyDescent="0.35">
      <c r="A63" s="9" t="s">
        <v>28</v>
      </c>
      <c r="B63">
        <v>229</v>
      </c>
      <c r="C63">
        <v>461</v>
      </c>
      <c r="D63">
        <v>406</v>
      </c>
      <c r="E63">
        <v>597</v>
      </c>
      <c r="F63">
        <v>745</v>
      </c>
      <c r="G63">
        <v>1313</v>
      </c>
      <c r="H63">
        <v>1132</v>
      </c>
      <c r="I63">
        <v>1025</v>
      </c>
      <c r="J63">
        <v>1009</v>
      </c>
      <c r="K63">
        <v>880</v>
      </c>
    </row>
    <row r="64" spans="1:11" x14ac:dyDescent="0.35">
      <c r="A64" s="9" t="s">
        <v>29</v>
      </c>
      <c r="B64">
        <v>3794</v>
      </c>
      <c r="C64">
        <v>2873</v>
      </c>
      <c r="D64">
        <v>2716</v>
      </c>
      <c r="E64">
        <v>1255</v>
      </c>
      <c r="F64">
        <v>2709</v>
      </c>
      <c r="G64">
        <v>3521</v>
      </c>
      <c r="H64">
        <v>2882</v>
      </c>
      <c r="I64">
        <v>4625</v>
      </c>
      <c r="J64">
        <v>3810</v>
      </c>
      <c r="K64">
        <v>4359</v>
      </c>
    </row>
    <row r="65" spans="1:11" x14ac:dyDescent="0.35">
      <c r="A65" s="9" t="s">
        <v>73</v>
      </c>
      <c r="B65">
        <v>7264</v>
      </c>
      <c r="C65">
        <v>10000</v>
      </c>
      <c r="D65">
        <v>10792</v>
      </c>
      <c r="E65">
        <v>12822</v>
      </c>
      <c r="F65">
        <v>13843</v>
      </c>
      <c r="G65">
        <v>14199</v>
      </c>
      <c r="H65">
        <v>16385</v>
      </c>
      <c r="I65">
        <v>19095</v>
      </c>
      <c r="J65">
        <v>20709</v>
      </c>
      <c r="K65">
        <v>17071</v>
      </c>
    </row>
    <row r="66" spans="1:11" s="1" customFormat="1" x14ac:dyDescent="0.35">
      <c r="A66" s="1" t="s">
        <v>26</v>
      </c>
      <c r="B66">
        <v>15706</v>
      </c>
      <c r="C66">
        <v>17862</v>
      </c>
      <c r="D66">
        <v>18629</v>
      </c>
      <c r="E66">
        <v>20153</v>
      </c>
      <c r="F66">
        <v>68740</v>
      </c>
      <c r="G66">
        <v>70506</v>
      </c>
      <c r="H66">
        <v>73077</v>
      </c>
      <c r="I66">
        <v>78489</v>
      </c>
      <c r="J66">
        <v>79863</v>
      </c>
      <c r="K66">
        <v>79738</v>
      </c>
    </row>
    <row r="67" spans="1:11" s="9" customFormat="1" x14ac:dyDescent="0.35">
      <c r="A67" s="9" t="s">
        <v>78</v>
      </c>
      <c r="B67">
        <v>1085</v>
      </c>
      <c r="C67">
        <v>1310</v>
      </c>
      <c r="D67">
        <v>1816</v>
      </c>
      <c r="E67">
        <v>1149</v>
      </c>
      <c r="F67">
        <v>1758</v>
      </c>
      <c r="G67">
        <v>2236</v>
      </c>
      <c r="H67">
        <v>3079</v>
      </c>
      <c r="I67">
        <v>2997</v>
      </c>
      <c r="J67">
        <v>3819</v>
      </c>
      <c r="K67">
        <v>3379</v>
      </c>
    </row>
    <row r="68" spans="1:11" x14ac:dyDescent="0.35">
      <c r="A68" s="9" t="s">
        <v>45</v>
      </c>
      <c r="B68">
        <v>2541</v>
      </c>
      <c r="C68">
        <v>2513</v>
      </c>
      <c r="D68">
        <v>2574</v>
      </c>
      <c r="E68">
        <v>2767</v>
      </c>
      <c r="F68">
        <v>3579</v>
      </c>
      <c r="G68">
        <v>4096</v>
      </c>
      <c r="H68">
        <v>4251</v>
      </c>
      <c r="I68">
        <v>4022</v>
      </c>
      <c r="J68">
        <v>4415</v>
      </c>
      <c r="K68">
        <v>4789</v>
      </c>
    </row>
    <row r="69" spans="1:11" x14ac:dyDescent="0.35">
      <c r="A69" s="5" t="s">
        <v>87</v>
      </c>
      <c r="B69">
        <v>1828</v>
      </c>
      <c r="C69">
        <v>3485</v>
      </c>
      <c r="D69">
        <v>3757</v>
      </c>
      <c r="E69">
        <v>5113</v>
      </c>
      <c r="F69">
        <v>4471</v>
      </c>
      <c r="G69">
        <v>3846</v>
      </c>
      <c r="H69">
        <v>4678</v>
      </c>
      <c r="I69">
        <v>7559</v>
      </c>
      <c r="J69">
        <v>7554</v>
      </c>
      <c r="K69">
        <v>3248</v>
      </c>
    </row>
    <row r="70" spans="1:11" x14ac:dyDescent="0.35">
      <c r="A70" s="5" t="s">
        <v>74</v>
      </c>
      <c r="B70">
        <v>2164349639</v>
      </c>
      <c r="C70">
        <v>2164528777</v>
      </c>
      <c r="D70">
        <v>2164704405</v>
      </c>
      <c r="E70">
        <v>2164704405</v>
      </c>
      <c r="F70">
        <v>2349567819</v>
      </c>
      <c r="G70">
        <v>2349591262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5">
      <c r="A71" s="5" t="s">
        <v>75</v>
      </c>
    </row>
    <row r="72" spans="1:11" x14ac:dyDescent="0.35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5" t="s">
        <v>260</v>
      </c>
      <c r="B74" s="5">
        <f>B65-SUM(B67:B69)</f>
        <v>1810</v>
      </c>
      <c r="C74" s="5">
        <f t="shared" ref="C74:K74" si="2">C65-SUM(C67:C69)</f>
        <v>2692</v>
      </c>
      <c r="D74" s="5">
        <f t="shared" si="2"/>
        <v>2645</v>
      </c>
      <c r="E74" s="5">
        <f t="shared" si="2"/>
        <v>3793</v>
      </c>
      <c r="F74" s="5">
        <f t="shared" si="2"/>
        <v>4035</v>
      </c>
      <c r="G74" s="5">
        <f t="shared" si="2"/>
        <v>4021</v>
      </c>
      <c r="H74" s="5">
        <f t="shared" si="2"/>
        <v>4377</v>
      </c>
      <c r="I74" s="5">
        <f t="shared" si="2"/>
        <v>4517</v>
      </c>
      <c r="J74" s="5">
        <f t="shared" si="2"/>
        <v>4921</v>
      </c>
      <c r="K74" s="5">
        <f t="shared" si="2"/>
        <v>5655</v>
      </c>
    </row>
    <row r="75" spans="1:11" x14ac:dyDescent="0.35">
      <c r="A75" s="9"/>
    </row>
    <row r="76" spans="1:11" x14ac:dyDescent="0.35">
      <c r="A76" s="9"/>
    </row>
    <row r="77" spans="1:11" x14ac:dyDescent="0.35">
      <c r="A77" s="9"/>
    </row>
    <row r="78" spans="1:11" x14ac:dyDescent="0.35">
      <c r="A78" s="9"/>
    </row>
    <row r="79" spans="1:11" x14ac:dyDescent="0.35">
      <c r="A79" s="9"/>
    </row>
    <row r="80" spans="1:11" x14ac:dyDescent="0.35">
      <c r="A80" s="1" t="s">
        <v>41</v>
      </c>
    </row>
    <row r="81" spans="1:11" s="24" customFormat="1" x14ac:dyDescent="0.35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5">
      <c r="A82" s="9" t="s">
        <v>32</v>
      </c>
      <c r="B82">
        <v>5185</v>
      </c>
      <c r="C82">
        <v>6059</v>
      </c>
      <c r="D82">
        <v>5800</v>
      </c>
      <c r="E82">
        <v>7623</v>
      </c>
      <c r="F82">
        <v>9163</v>
      </c>
      <c r="G82">
        <v>9048</v>
      </c>
      <c r="H82">
        <v>9991</v>
      </c>
      <c r="I82">
        <v>15469</v>
      </c>
      <c r="J82">
        <v>11886</v>
      </c>
      <c r="K82">
        <v>10999</v>
      </c>
    </row>
    <row r="83" spans="1:11" s="9" customFormat="1" x14ac:dyDescent="0.35">
      <c r="A83" s="9" t="s">
        <v>33</v>
      </c>
      <c r="B83">
        <v>-1173</v>
      </c>
      <c r="C83">
        <v>-1063</v>
      </c>
      <c r="D83">
        <v>-438</v>
      </c>
      <c r="E83">
        <v>1791</v>
      </c>
      <c r="F83">
        <v>-1228</v>
      </c>
      <c r="G83">
        <v>-1728</v>
      </c>
      <c r="H83">
        <v>-1484</v>
      </c>
      <c r="I83">
        <v>-5324</v>
      </c>
      <c r="J83">
        <v>6473</v>
      </c>
      <c r="K83">
        <v>-3676</v>
      </c>
    </row>
    <row r="84" spans="1:11" s="9" customFormat="1" x14ac:dyDescent="0.35">
      <c r="A84" s="9" t="s">
        <v>34</v>
      </c>
      <c r="B84">
        <v>-4214</v>
      </c>
      <c r="C84">
        <v>-4975</v>
      </c>
      <c r="D84">
        <v>-5390</v>
      </c>
      <c r="E84">
        <v>-6819</v>
      </c>
      <c r="F84">
        <v>-9309</v>
      </c>
      <c r="G84">
        <v>-8015</v>
      </c>
      <c r="H84">
        <v>-8953</v>
      </c>
      <c r="I84">
        <v>-10034</v>
      </c>
      <c r="J84">
        <v>-13101</v>
      </c>
      <c r="K84">
        <v>-10810</v>
      </c>
    </row>
    <row r="85" spans="1:11" s="1" customFormat="1" x14ac:dyDescent="0.35">
      <c r="A85" s="9" t="s">
        <v>35</v>
      </c>
      <c r="B85">
        <v>-202</v>
      </c>
      <c r="C85">
        <v>21</v>
      </c>
      <c r="D85">
        <v>-28</v>
      </c>
      <c r="E85">
        <v>2595</v>
      </c>
      <c r="F85">
        <v>-1374</v>
      </c>
      <c r="G85">
        <v>-695</v>
      </c>
      <c r="H85">
        <v>-446</v>
      </c>
      <c r="I85">
        <v>111</v>
      </c>
      <c r="J85">
        <v>5258</v>
      </c>
      <c r="K85">
        <v>-3487</v>
      </c>
    </row>
    <row r="86" spans="1:11" x14ac:dyDescent="0.35">
      <c r="A86" s="9"/>
    </row>
    <row r="87" spans="1:11" x14ac:dyDescent="0.35">
      <c r="A87" s="9"/>
    </row>
    <row r="88" spans="1:11" x14ac:dyDescent="0.35">
      <c r="A88" s="9"/>
    </row>
    <row r="89" spans="1:11" x14ac:dyDescent="0.35">
      <c r="A89" s="9"/>
    </row>
    <row r="90" spans="1:11" s="1" customFormat="1" x14ac:dyDescent="0.35">
      <c r="A90" s="1" t="s">
        <v>77</v>
      </c>
      <c r="B90">
        <v>872.61</v>
      </c>
      <c r="C90">
        <v>1276.1099999999999</v>
      </c>
      <c r="D90">
        <v>1633.53</v>
      </c>
      <c r="E90">
        <v>2199.83</v>
      </c>
      <c r="F90">
        <v>2327.12</v>
      </c>
      <c r="G90">
        <v>1960.7</v>
      </c>
      <c r="H90">
        <v>2450.44</v>
      </c>
      <c r="I90">
        <v>2167.14</v>
      </c>
      <c r="J90">
        <v>2161.88</v>
      </c>
      <c r="K90">
        <v>2055.1999999999998</v>
      </c>
    </row>
    <row r="92" spans="1:11" s="1" customFormat="1" x14ac:dyDescent="0.35">
      <c r="A92" s="1" t="s">
        <v>76</v>
      </c>
    </row>
    <row r="93" spans="1:11" x14ac:dyDescent="0.35">
      <c r="A93" s="5" t="s">
        <v>89</v>
      </c>
      <c r="B93" s="31">
        <v>216.43</v>
      </c>
      <c r="C93" s="31">
        <v>216.45</v>
      </c>
      <c r="D93" s="31">
        <v>216.47</v>
      </c>
      <c r="E93" s="31">
        <v>216.48</v>
      </c>
      <c r="F93" s="31">
        <v>234.96</v>
      </c>
      <c r="G93" s="31">
        <v>234.96</v>
      </c>
      <c r="H93" s="31">
        <v>234.96</v>
      </c>
      <c r="I93" s="31">
        <v>234.96</v>
      </c>
      <c r="J93" s="31">
        <v>234.96</v>
      </c>
      <c r="K93" s="31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  <ignoredErrors>
    <ignoredError sqref="B32:B33 C32:K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05"/>
  <sheetViews>
    <sheetView showGridLines="0" topLeftCell="B1" zoomScale="58" workbookViewId="0">
      <pane ySplit="3" topLeftCell="A60" activePane="bottomLeft" state="frozen"/>
      <selection activeCell="D1" sqref="D1"/>
      <selection pane="bottomLeft" activeCell="J74" sqref="J74"/>
    </sheetView>
  </sheetViews>
  <sheetFormatPr defaultRowHeight="14.5" x14ac:dyDescent="0.35"/>
  <cols>
    <col min="1" max="1" width="1.7265625" customWidth="1"/>
    <col min="2" max="2" width="36.6328125" bestFit="1" customWidth="1"/>
    <col min="3" max="3" width="21.453125" bestFit="1" customWidth="1"/>
    <col min="4" max="17" width="16.6328125" customWidth="1"/>
    <col min="36" max="36" width="0" hidden="1" customWidth="1"/>
  </cols>
  <sheetData>
    <row r="2" spans="1:19" x14ac:dyDescent="0.35">
      <c r="B2" s="175" t="str">
        <f>"Historical Financial Statement for " &amp;'Data Sheet'!B1</f>
        <v>Historical Financial Statement for HINDUSTAN UNILEVER LTD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</row>
    <row r="3" spans="1:19" x14ac:dyDescent="0.35">
      <c r="B3" s="48" t="s">
        <v>93</v>
      </c>
      <c r="C3" s="49">
        <f>'Data Sheet'!B16</f>
        <v>42825</v>
      </c>
      <c r="D3" s="49">
        <f>'Data Sheet'!C16</f>
        <v>43190</v>
      </c>
      <c r="E3" s="49">
        <f>'Data Sheet'!D16</f>
        <v>43555</v>
      </c>
      <c r="F3" s="49">
        <f>'Data Sheet'!E16</f>
        <v>43921</v>
      </c>
      <c r="G3" s="49">
        <f>'Data Sheet'!F16</f>
        <v>44286</v>
      </c>
      <c r="H3" s="49">
        <f>'Data Sheet'!G16</f>
        <v>44651</v>
      </c>
      <c r="I3" s="49">
        <f>'Data Sheet'!H16</f>
        <v>45016</v>
      </c>
      <c r="J3" s="49">
        <f>'Data Sheet'!I16</f>
        <v>45382</v>
      </c>
      <c r="K3" s="49">
        <f>'Data Sheet'!J16</f>
        <v>45747</v>
      </c>
      <c r="L3" s="49">
        <f>'Data Sheet'!K16</f>
        <v>46112</v>
      </c>
      <c r="M3" s="50">
        <f>L3+365</f>
        <v>46477</v>
      </c>
      <c r="N3" s="50">
        <f t="shared" ref="N3:Q3" si="0">M3+365</f>
        <v>46842</v>
      </c>
      <c r="O3" s="50">
        <f t="shared" si="0"/>
        <v>47207</v>
      </c>
      <c r="P3" s="50">
        <f t="shared" si="0"/>
        <v>47572</v>
      </c>
      <c r="Q3" s="50">
        <f t="shared" si="0"/>
        <v>47937</v>
      </c>
      <c r="R3" s="43"/>
      <c r="S3" s="43"/>
    </row>
    <row r="5" spans="1:19" x14ac:dyDescent="0.35">
      <c r="A5" s="32" t="s">
        <v>94</v>
      </c>
      <c r="B5" s="33" t="s">
        <v>95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9" x14ac:dyDescent="0.35">
      <c r="B6" s="35" t="str">
        <f>'Data Sheet'!A17</f>
        <v>Sales</v>
      </c>
      <c r="C6" s="36">
        <f>'Data Sheet'!B17</f>
        <v>33162</v>
      </c>
      <c r="D6" s="36">
        <f>'Data Sheet'!C17</f>
        <v>35545</v>
      </c>
      <c r="E6" s="36">
        <f>'Data Sheet'!D17</f>
        <v>39310</v>
      </c>
      <c r="F6" s="36">
        <f>'Data Sheet'!E17</f>
        <v>39783</v>
      </c>
      <c r="G6" s="36">
        <f>'Data Sheet'!F17</f>
        <v>47028</v>
      </c>
      <c r="H6" s="36">
        <f>'Data Sheet'!G17</f>
        <v>52446</v>
      </c>
      <c r="I6" s="36">
        <f>'Data Sheet'!H17</f>
        <v>60580</v>
      </c>
      <c r="J6" s="36">
        <f>'Data Sheet'!I17</f>
        <v>61896</v>
      </c>
      <c r="K6" s="36">
        <f>'Data Sheet'!J17</f>
        <v>61328</v>
      </c>
      <c r="L6" s="36">
        <f>'Data Sheet'!K17</f>
        <v>64468</v>
      </c>
      <c r="M6" s="46">
        <f>FORECAST($M$3,C6:L6,$C$3:$L$3)</f>
        <v>70982.404077328276</v>
      </c>
      <c r="N6" s="46">
        <f t="shared" ref="N6:Q6" si="1">FORECAST($M$3,D6:M6,$C$3:$L$3)</f>
        <v>75182.241356538842</v>
      </c>
      <c r="O6" s="46">
        <f t="shared" si="1"/>
        <v>79176.450060808391</v>
      </c>
      <c r="P6" s="46">
        <f t="shared" si="1"/>
        <v>83129.770811451075</v>
      </c>
      <c r="Q6" s="46">
        <f t="shared" si="1"/>
        <v>86132.087704457284</v>
      </c>
    </row>
    <row r="7" spans="1:19" x14ac:dyDescent="0.35">
      <c r="B7" s="37" t="s">
        <v>22</v>
      </c>
      <c r="C7" s="38" t="s">
        <v>96</v>
      </c>
      <c r="D7" s="39">
        <f>D6/C6-1</f>
        <v>7.1859357095470644E-2</v>
      </c>
      <c r="E7" s="39">
        <f t="shared" ref="E7:L7" si="2">E6/D6-1</f>
        <v>0.1059220706147137</v>
      </c>
      <c r="F7" s="39">
        <f t="shared" si="2"/>
        <v>1.2032561689137689E-2</v>
      </c>
      <c r="G7" s="39">
        <f t="shared" si="2"/>
        <v>0.18211296282331646</v>
      </c>
      <c r="H7" s="39">
        <f t="shared" si="2"/>
        <v>0.11520796121459553</v>
      </c>
      <c r="I7" s="39">
        <f t="shared" si="2"/>
        <v>0.15509285741524614</v>
      </c>
      <c r="J7" s="39">
        <f t="shared" si="2"/>
        <v>2.1723341036645749E-2</v>
      </c>
      <c r="K7" s="39">
        <f t="shared" si="2"/>
        <v>-9.1766834690448773E-3</v>
      </c>
      <c r="L7" s="39">
        <f t="shared" si="2"/>
        <v>5.1200104356900589E-2</v>
      </c>
      <c r="M7" s="45">
        <f t="shared" ref="M7" si="3">M6/L6-1</f>
        <v>0.10104864548812231</v>
      </c>
      <c r="N7" s="45">
        <f t="shared" ref="N7" si="4">N6/M6-1</f>
        <v>5.916730116149993E-2</v>
      </c>
      <c r="O7" s="45">
        <f t="shared" ref="O7" si="5">O6/N6-1</f>
        <v>5.3127023512476779E-2</v>
      </c>
      <c r="P7" s="45">
        <f t="shared" ref="P7" si="6">P6/O6-1</f>
        <v>4.993051276745164E-2</v>
      </c>
      <c r="Q7" s="45">
        <f t="shared" ref="Q7" si="7">Q6/P6-1</f>
        <v>3.6116025145983555E-2</v>
      </c>
    </row>
    <row r="8" spans="1:19" x14ac:dyDescent="0.35">
      <c r="C8" s="36"/>
      <c r="D8" s="36"/>
      <c r="E8" s="36"/>
      <c r="F8" s="36"/>
      <c r="G8" s="36"/>
      <c r="H8" s="36"/>
      <c r="I8" s="36"/>
      <c r="J8" s="36"/>
      <c r="K8" s="36"/>
      <c r="L8" s="36"/>
      <c r="M8" s="44"/>
      <c r="N8" s="44"/>
      <c r="O8" s="44"/>
      <c r="P8" s="44"/>
      <c r="Q8" s="44"/>
    </row>
    <row r="9" spans="1:19" x14ac:dyDescent="0.35">
      <c r="B9" t="s">
        <v>97</v>
      </c>
      <c r="C9" s="36">
        <f>SUM('Data Sheet'!B18:B22)</f>
        <v>18387</v>
      </c>
      <c r="D9" s="36">
        <f>SUM('Data Sheet'!C18:C22)</f>
        <v>19458</v>
      </c>
      <c r="E9" s="36">
        <f>SUM('Data Sheet'!D18:D22)</f>
        <v>21057</v>
      </c>
      <c r="F9" s="36">
        <f>SUM('Data Sheet'!E18:E22)</f>
        <v>20830</v>
      </c>
      <c r="G9" s="36">
        <f>SUM('Data Sheet'!F18:F22)</f>
        <v>26111</v>
      </c>
      <c r="H9" s="36">
        <f>SUM('Data Sheet'!G18:G22)</f>
        <v>29110</v>
      </c>
      <c r="I9" s="36">
        <f>SUM('Data Sheet'!H18:H22)</f>
        <v>35531</v>
      </c>
      <c r="J9" s="36">
        <f>SUM('Data Sheet'!I18:I22)</f>
        <v>33673</v>
      </c>
      <c r="K9" s="36">
        <f>SUM('Data Sheet'!J18:J22)</f>
        <v>33769</v>
      </c>
      <c r="L9" s="36">
        <f>SUM('Data Sheet'!K18:K22)</f>
        <v>36492</v>
      </c>
      <c r="M9" s="46">
        <f>FORECAST($M$3,C9:L9,$C$3:$L$3)</f>
        <v>39882.335803060385</v>
      </c>
      <c r="N9" s="46">
        <f t="shared" ref="N9:Q9" si="8">FORECAST($M$3,D9:M9,$C$3:$L$3)</f>
        <v>42444.254904887755</v>
      </c>
      <c r="O9" s="46">
        <f t="shared" si="8"/>
        <v>44883.444459294493</v>
      </c>
      <c r="P9" s="46">
        <f t="shared" si="8"/>
        <v>47192.177624455129</v>
      </c>
      <c r="Q9" s="46">
        <f t="shared" si="8"/>
        <v>48774.907714370813</v>
      </c>
    </row>
    <row r="10" spans="1:19" x14ac:dyDescent="0.35"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44"/>
      <c r="N10" s="44"/>
      <c r="O10" s="44"/>
      <c r="P10" s="44"/>
      <c r="Q10" s="44"/>
    </row>
    <row r="11" spans="1:19" x14ac:dyDescent="0.35">
      <c r="B11" s="41" t="s">
        <v>98</v>
      </c>
      <c r="C11" s="42">
        <f>C6-C9</f>
        <v>14775</v>
      </c>
      <c r="D11" s="42">
        <f t="shared" ref="D11:L11" si="9">D6-D9</f>
        <v>16087</v>
      </c>
      <c r="E11" s="42">
        <f t="shared" si="9"/>
        <v>18253</v>
      </c>
      <c r="F11" s="42">
        <f t="shared" si="9"/>
        <v>18953</v>
      </c>
      <c r="G11" s="42">
        <f t="shared" si="9"/>
        <v>20917</v>
      </c>
      <c r="H11" s="42">
        <f t="shared" si="9"/>
        <v>23336</v>
      </c>
      <c r="I11" s="42">
        <f t="shared" si="9"/>
        <v>25049</v>
      </c>
      <c r="J11" s="42">
        <f t="shared" si="9"/>
        <v>28223</v>
      </c>
      <c r="K11" s="42">
        <f t="shared" si="9"/>
        <v>27559</v>
      </c>
      <c r="L11" s="42">
        <f t="shared" si="9"/>
        <v>27976</v>
      </c>
      <c r="M11" s="47">
        <f>FORECAST($M$3,C11:L11,$C$3:$L$3)</f>
        <v>31100.068274267891</v>
      </c>
      <c r="N11" s="47">
        <f t="shared" ref="N11:Q11" si="10">FORECAST($M$3,D11:M11,$C$3:$L$3)</f>
        <v>32737.986451651115</v>
      </c>
      <c r="O11" s="47">
        <f t="shared" si="10"/>
        <v>34293.005601513869</v>
      </c>
      <c r="P11" s="47">
        <f t="shared" si="10"/>
        <v>35937.593186996004</v>
      </c>
      <c r="Q11" s="47">
        <f t="shared" si="10"/>
        <v>37357.179990086559</v>
      </c>
    </row>
    <row r="12" spans="1:19" x14ac:dyDescent="0.35">
      <c r="B12" s="37" t="s">
        <v>99</v>
      </c>
      <c r="C12" s="40">
        <f>C11/C6</f>
        <v>0.44554007599059164</v>
      </c>
      <c r="D12" s="39">
        <f t="shared" ref="D12:L12" si="11">D11/D6</f>
        <v>0.45258123505415671</v>
      </c>
      <c r="E12" s="39">
        <f t="shared" si="11"/>
        <v>0.4643347748664462</v>
      </c>
      <c r="F12" s="39">
        <f t="shared" si="11"/>
        <v>0.47640952165497824</v>
      </c>
      <c r="G12" s="39">
        <f t="shared" si="11"/>
        <v>0.44477757931445094</v>
      </c>
      <c r="H12" s="39">
        <f t="shared" si="11"/>
        <v>0.44495290393928993</v>
      </c>
      <c r="I12" s="39">
        <f t="shared" si="11"/>
        <v>0.41348629910861673</v>
      </c>
      <c r="J12" s="39">
        <f t="shared" si="11"/>
        <v>0.45597453793459997</v>
      </c>
      <c r="K12" s="39">
        <f t="shared" si="11"/>
        <v>0.44937059744325591</v>
      </c>
      <c r="L12" s="39">
        <f t="shared" si="11"/>
        <v>0.43395172798907983</v>
      </c>
      <c r="M12" s="45">
        <f t="shared" ref="M12" si="12">M11/M6</f>
        <v>0.43813771424799103</v>
      </c>
      <c r="N12" s="45">
        <f t="shared" ref="N12" si="13">N11/N6</f>
        <v>0.43544839660202267</v>
      </c>
      <c r="O12" s="45">
        <f t="shared" ref="O12" si="14">O11/O6</f>
        <v>0.43312128259320115</v>
      </c>
      <c r="P12" s="45">
        <f t="shared" ref="P12" si="15">P11/P6</f>
        <v>0.43230713661543768</v>
      </c>
      <c r="Q12" s="45">
        <f t="shared" ref="Q12" si="16">Q11/Q6</f>
        <v>0.43371966227347519</v>
      </c>
    </row>
    <row r="13" spans="1:19" x14ac:dyDescent="0.35">
      <c r="C13" s="36">
        <f>'Historical FS'!C40/SUM('Historical FS'!D3)</f>
        <v>6.4135216485297526E-3</v>
      </c>
      <c r="D13" s="36"/>
      <c r="E13" s="36"/>
      <c r="F13" s="36"/>
      <c r="G13" s="36"/>
      <c r="H13" s="36"/>
      <c r="I13" s="36"/>
      <c r="J13" s="36"/>
      <c r="K13" s="36"/>
      <c r="L13" s="36"/>
      <c r="M13" s="44"/>
      <c r="N13" s="44"/>
      <c r="O13" s="44"/>
      <c r="P13" s="44"/>
      <c r="Q13" s="44"/>
    </row>
    <row r="14" spans="1:19" x14ac:dyDescent="0.35">
      <c r="B14" t="s">
        <v>100</v>
      </c>
      <c r="C14" s="36">
        <f>SUM('Data Sheet'!B23:B24)</f>
        <v>8159</v>
      </c>
      <c r="D14" s="36">
        <f>SUM('Data Sheet'!C23:C24)</f>
        <v>8732</v>
      </c>
      <c r="E14" s="36">
        <f>SUM('Data Sheet'!D23:D24)</f>
        <v>9349</v>
      </c>
      <c r="F14" s="36">
        <f>SUM('Data Sheet'!E23:E24)</f>
        <v>9308</v>
      </c>
      <c r="G14" s="36">
        <f>SUM('Data Sheet'!F23:F24)</f>
        <v>10101</v>
      </c>
      <c r="H14" s="36">
        <f>SUM('Data Sheet'!G23:G24)</f>
        <v>10523</v>
      </c>
      <c r="I14" s="36">
        <f>SUM('Data Sheet'!H23:H24)</f>
        <v>11052</v>
      </c>
      <c r="J14" s="36">
        <f>SUM('Data Sheet'!I23:I24)</f>
        <v>13586</v>
      </c>
      <c r="K14" s="36">
        <f>SUM('Data Sheet'!J23:J24)</f>
        <v>13111</v>
      </c>
      <c r="L14" s="36">
        <f>SUM('Data Sheet'!K23:K24)</f>
        <v>13795</v>
      </c>
      <c r="M14" s="46">
        <f>FORECAST($M$3,C14:L14,$C$3:$L$3)</f>
        <v>14378.168961863426</v>
      </c>
      <c r="N14" s="46">
        <f t="shared" ref="N14:Q14" si="17">FORECAST($M$3,D14:M14,$C$3:$L$3)</f>
        <v>15123.926985758342</v>
      </c>
      <c r="O14" s="46">
        <f t="shared" si="17"/>
        <v>15906.34236179151</v>
      </c>
      <c r="P14" s="46">
        <f t="shared" si="17"/>
        <v>16740.151094794113</v>
      </c>
      <c r="Q14" s="46">
        <f t="shared" si="17"/>
        <v>17459.516572376073</v>
      </c>
    </row>
    <row r="15" spans="1:19" x14ac:dyDescent="0.35"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46"/>
      <c r="N15" s="46"/>
      <c r="O15" s="46"/>
      <c r="P15" s="46"/>
      <c r="Q15" s="46"/>
    </row>
    <row r="16" spans="1:19" x14ac:dyDescent="0.35">
      <c r="B16" s="41" t="s">
        <v>101</v>
      </c>
      <c r="C16" s="42">
        <f>C11-C14</f>
        <v>6616</v>
      </c>
      <c r="D16" s="42">
        <f t="shared" ref="D16:L16" si="18">D11-D14</f>
        <v>7355</v>
      </c>
      <c r="E16" s="42">
        <f t="shared" si="18"/>
        <v>8904</v>
      </c>
      <c r="F16" s="42">
        <f t="shared" si="18"/>
        <v>9645</v>
      </c>
      <c r="G16" s="42">
        <f t="shared" si="18"/>
        <v>10816</v>
      </c>
      <c r="H16" s="42">
        <f t="shared" si="18"/>
        <v>12813</v>
      </c>
      <c r="I16" s="42">
        <f t="shared" si="18"/>
        <v>13997</v>
      </c>
      <c r="J16" s="42">
        <f t="shared" si="18"/>
        <v>14637</v>
      </c>
      <c r="K16" s="42">
        <f t="shared" si="18"/>
        <v>14448</v>
      </c>
      <c r="L16" s="42">
        <f t="shared" si="18"/>
        <v>14181</v>
      </c>
      <c r="M16" s="47">
        <f>FORECAST($M$3,C16:L16,$C$3:$L$3)</f>
        <v>16721.899312404508</v>
      </c>
      <c r="N16" s="47">
        <f t="shared" ref="N16:Q16" si="19">FORECAST($M$3,D16:M16,$C$3:$L$3)</f>
        <v>17614.059465892773</v>
      </c>
      <c r="O16" s="47">
        <f t="shared" si="19"/>
        <v>18386.663239722388</v>
      </c>
      <c r="P16" s="47">
        <f t="shared" si="19"/>
        <v>19197.44209220192</v>
      </c>
      <c r="Q16" s="47">
        <f t="shared" si="19"/>
        <v>19897.663417710501</v>
      </c>
    </row>
    <row r="17" spans="2:17" x14ac:dyDescent="0.35">
      <c r="B17" s="37" t="s">
        <v>102</v>
      </c>
      <c r="C17" s="40">
        <f>C16/C6</f>
        <v>0.19950545805439962</v>
      </c>
      <c r="D17" s="39">
        <f t="shared" ref="D17:L17" si="20">D16/D6</f>
        <v>0.20692080461386975</v>
      </c>
      <c r="E17" s="39">
        <f t="shared" si="20"/>
        <v>0.22650725006359704</v>
      </c>
      <c r="F17" s="39">
        <f t="shared" si="20"/>
        <v>0.24244023829273811</v>
      </c>
      <c r="G17" s="39">
        <f t="shared" si="20"/>
        <v>0.22999064387173598</v>
      </c>
      <c r="H17" s="39">
        <f t="shared" si="20"/>
        <v>0.24430843152957327</v>
      </c>
      <c r="I17" s="39">
        <f t="shared" si="20"/>
        <v>0.23104985143611753</v>
      </c>
      <c r="J17" s="39">
        <f t="shared" si="20"/>
        <v>0.23647731678945327</v>
      </c>
      <c r="K17" s="39">
        <f t="shared" si="20"/>
        <v>0.23558570310461779</v>
      </c>
      <c r="L17" s="39">
        <f t="shared" si="20"/>
        <v>0.21996959731960042</v>
      </c>
      <c r="M17" s="45">
        <f t="shared" ref="M17" si="21">M16/M6</f>
        <v>0.23557809191962081</v>
      </c>
      <c r="N17" s="45">
        <f t="shared" ref="N17" si="22">N16/N6</f>
        <v>0.23428484104858124</v>
      </c>
      <c r="O17" s="45">
        <f t="shared" ref="O17" si="23">O16/O6</f>
        <v>0.23222389012896166</v>
      </c>
      <c r="P17" s="45">
        <f t="shared" ref="P17" si="24">P16/P6</f>
        <v>0.23093341777332899</v>
      </c>
      <c r="Q17" s="45">
        <f t="shared" ref="Q17" si="25">Q16/Q6</f>
        <v>0.23101336503051939</v>
      </c>
    </row>
    <row r="18" spans="2:17" x14ac:dyDescent="0.35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44"/>
      <c r="N18" s="44"/>
      <c r="O18" s="44"/>
      <c r="P18" s="44"/>
      <c r="Q18" s="44"/>
    </row>
    <row r="19" spans="2:17" x14ac:dyDescent="0.35">
      <c r="B19" t="s">
        <v>103</v>
      </c>
      <c r="C19" s="36">
        <f>'Data Sheet'!B26</f>
        <v>432</v>
      </c>
      <c r="D19" s="36">
        <f>'Data Sheet'!C26</f>
        <v>520</v>
      </c>
      <c r="E19" s="36">
        <f>'Data Sheet'!D26</f>
        <v>565</v>
      </c>
      <c r="F19" s="36">
        <f>'Data Sheet'!E26</f>
        <v>1002</v>
      </c>
      <c r="G19" s="36">
        <f>'Data Sheet'!F26</f>
        <v>1074</v>
      </c>
      <c r="H19" s="36">
        <f>'Data Sheet'!G26</f>
        <v>1091</v>
      </c>
      <c r="I19" s="36">
        <f>'Data Sheet'!H26</f>
        <v>1137</v>
      </c>
      <c r="J19" s="36">
        <f>'Data Sheet'!I26</f>
        <v>1216</v>
      </c>
      <c r="K19" s="36">
        <f>'Data Sheet'!J26</f>
        <v>1253</v>
      </c>
      <c r="L19" s="36">
        <f>'Data Sheet'!K26</f>
        <v>1333</v>
      </c>
      <c r="M19" s="46">
        <f>FORECAST($M$3,C19:L19,$C$3:$L$3)</f>
        <v>1526.1117608362074</v>
      </c>
      <c r="N19" s="46">
        <f t="shared" ref="N19:Q19" si="26">FORECAST($M$3,D19:M19,$C$3:$L$3)</f>
        <v>1610.1983731344608</v>
      </c>
      <c r="O19" s="46">
        <f t="shared" si="26"/>
        <v>1678.4708658072104</v>
      </c>
      <c r="P19" s="46">
        <f t="shared" si="26"/>
        <v>1713.407416647894</v>
      </c>
      <c r="Q19" s="46">
        <f t="shared" si="26"/>
        <v>1804.5765748214108</v>
      </c>
    </row>
    <row r="20" spans="2:17" x14ac:dyDescent="0.35"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44"/>
      <c r="N20" s="44"/>
      <c r="O20" s="44"/>
      <c r="P20" s="44"/>
      <c r="Q20" s="44"/>
    </row>
    <row r="21" spans="2:17" x14ac:dyDescent="0.35">
      <c r="B21" s="41" t="s">
        <v>104</v>
      </c>
      <c r="C21" s="42">
        <f>C16-C19</f>
        <v>6184</v>
      </c>
      <c r="D21" s="42">
        <f t="shared" ref="D21:L21" si="27">D16-D19</f>
        <v>6835</v>
      </c>
      <c r="E21" s="42">
        <f t="shared" si="27"/>
        <v>8339</v>
      </c>
      <c r="F21" s="42">
        <f t="shared" si="27"/>
        <v>8643</v>
      </c>
      <c r="G21" s="42">
        <f t="shared" si="27"/>
        <v>9742</v>
      </c>
      <c r="H21" s="42">
        <f t="shared" si="27"/>
        <v>11722</v>
      </c>
      <c r="I21" s="42">
        <f t="shared" si="27"/>
        <v>12860</v>
      </c>
      <c r="J21" s="42">
        <f t="shared" si="27"/>
        <v>13421</v>
      </c>
      <c r="K21" s="42">
        <f t="shared" si="27"/>
        <v>13195</v>
      </c>
      <c r="L21" s="42">
        <f t="shared" si="27"/>
        <v>12848</v>
      </c>
      <c r="M21" s="47">
        <f>FORECAST($M$3,C21:L21,$C$3:$L$3)</f>
        <v>15195.787551568297</v>
      </c>
      <c r="N21" s="47">
        <f t="shared" ref="N21:Q21" si="28">FORECAST($M$3,D21:M21,$C$3:$L$3)</f>
        <v>16003.861092758321</v>
      </c>
      <c r="O21" s="47">
        <f t="shared" si="28"/>
        <v>16708.192373915183</v>
      </c>
      <c r="P21" s="47">
        <f t="shared" si="28"/>
        <v>17484.034675554023</v>
      </c>
      <c r="Q21" s="47">
        <f t="shared" si="28"/>
        <v>18093.086842889097</v>
      </c>
    </row>
    <row r="22" spans="2:17" x14ac:dyDescent="0.35">
      <c r="B22" s="37" t="s">
        <v>105</v>
      </c>
      <c r="C22" s="40">
        <f>C21/C6</f>
        <v>0.18647849948736506</v>
      </c>
      <c r="D22" s="39">
        <f t="shared" ref="D22:L22" si="29">D21/D6</f>
        <v>0.19229146152764101</v>
      </c>
      <c r="E22" s="39">
        <f t="shared" si="29"/>
        <v>0.21213431696769269</v>
      </c>
      <c r="F22" s="39">
        <f t="shared" si="29"/>
        <v>0.21725360078425457</v>
      </c>
      <c r="G22" s="39">
        <f t="shared" si="29"/>
        <v>0.20715318533639535</v>
      </c>
      <c r="H22" s="39">
        <f t="shared" si="29"/>
        <v>0.22350608244670708</v>
      </c>
      <c r="I22" s="39">
        <f t="shared" si="29"/>
        <v>0.21228128095080884</v>
      </c>
      <c r="J22" s="39">
        <f t="shared" si="29"/>
        <v>0.21683145922192065</v>
      </c>
      <c r="K22" s="39">
        <f t="shared" si="29"/>
        <v>0.21515457865901383</v>
      </c>
      <c r="L22" s="39">
        <f t="shared" si="29"/>
        <v>0.19929267233356085</v>
      </c>
      <c r="M22" s="45">
        <f t="shared" ref="M22" si="30">M21/M6</f>
        <v>0.21407823176873519</v>
      </c>
      <c r="N22" s="45">
        <f t="shared" ref="N22" si="31">N21/N6</f>
        <v>0.2128675709049796</v>
      </c>
      <c r="O22" s="45">
        <f t="shared" ref="O22" si="32">O21/O6</f>
        <v>0.21102477265756556</v>
      </c>
      <c r="P22" s="45">
        <f t="shared" ref="P22" si="33">P21/P6</f>
        <v>0.21032218066870464</v>
      </c>
      <c r="Q22" s="45">
        <f t="shared" ref="Q22" si="34">Q21/Q6</f>
        <v>0.21006209561495154</v>
      </c>
    </row>
    <row r="23" spans="2:17" x14ac:dyDescent="0.35"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44"/>
      <c r="N23" s="44"/>
      <c r="O23" s="44"/>
      <c r="P23" s="44"/>
      <c r="Q23" s="44"/>
    </row>
    <row r="24" spans="2:17" x14ac:dyDescent="0.35">
      <c r="B24" t="s">
        <v>11</v>
      </c>
      <c r="C24" s="36">
        <f>'Data Sheet'!B27</f>
        <v>35</v>
      </c>
      <c r="D24" s="36">
        <f>'Data Sheet'!C27</f>
        <v>26</v>
      </c>
      <c r="E24" s="36">
        <f>'Data Sheet'!D27</f>
        <v>33</v>
      </c>
      <c r="F24" s="36">
        <f>'Data Sheet'!E27</f>
        <v>118</v>
      </c>
      <c r="G24" s="36">
        <f>'Data Sheet'!F27</f>
        <v>117</v>
      </c>
      <c r="H24" s="36">
        <f>'Data Sheet'!G27</f>
        <v>106</v>
      </c>
      <c r="I24" s="36">
        <f>'Data Sheet'!H27</f>
        <v>114</v>
      </c>
      <c r="J24" s="36">
        <f>'Data Sheet'!I27</f>
        <v>334</v>
      </c>
      <c r="K24" s="36">
        <f>'Data Sheet'!J27</f>
        <v>381</v>
      </c>
      <c r="L24" s="36">
        <f>'Data Sheet'!K27</f>
        <v>410</v>
      </c>
      <c r="M24" s="46">
        <f>FORECAST($M$3,C24:L24,$C$3:$L$3)</f>
        <v>412.10221035518589</v>
      </c>
      <c r="N24" s="46">
        <f t="shared" ref="N24:Q24" si="35">FORECAST($M$3,D24:M24,$C$3:$L$3)</f>
        <v>474.65325757382016</v>
      </c>
      <c r="O24" s="46">
        <f t="shared" si="35"/>
        <v>534.69462228011253</v>
      </c>
      <c r="P24" s="46">
        <f t="shared" si="35"/>
        <v>590.72629174665872</v>
      </c>
      <c r="Q24" s="46">
        <f t="shared" si="35"/>
        <v>658.40186235928559</v>
      </c>
    </row>
    <row r="25" spans="2:17" x14ac:dyDescent="0.35"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44"/>
      <c r="N25" s="44"/>
      <c r="O25" s="44"/>
      <c r="P25" s="44"/>
      <c r="Q25" s="44"/>
    </row>
    <row r="26" spans="2:17" x14ac:dyDescent="0.35">
      <c r="B26" s="41" t="s">
        <v>106</v>
      </c>
      <c r="C26" s="42">
        <f>C21-C24</f>
        <v>6149</v>
      </c>
      <c r="D26" s="42">
        <f t="shared" ref="D26:L26" si="36">D21-D24</f>
        <v>6809</v>
      </c>
      <c r="E26" s="42">
        <f t="shared" si="36"/>
        <v>8306</v>
      </c>
      <c r="F26" s="42">
        <f t="shared" si="36"/>
        <v>8525</v>
      </c>
      <c r="G26" s="42">
        <f t="shared" si="36"/>
        <v>9625</v>
      </c>
      <c r="H26" s="42">
        <f t="shared" si="36"/>
        <v>11616</v>
      </c>
      <c r="I26" s="42">
        <f t="shared" si="36"/>
        <v>12746</v>
      </c>
      <c r="J26" s="42">
        <f t="shared" si="36"/>
        <v>13087</v>
      </c>
      <c r="K26" s="42">
        <f t="shared" si="36"/>
        <v>12814</v>
      </c>
      <c r="L26" s="42">
        <f t="shared" si="36"/>
        <v>12438</v>
      </c>
      <c r="M26" s="47">
        <f>FORECAST($M$3,C26:L26,$C$3:$L$3)</f>
        <v>14783.685341213117</v>
      </c>
      <c r="N26" s="47">
        <f t="shared" ref="N26:Q26" si="37">FORECAST($M$3,D26:M26,$C$3:$L$3)</f>
        <v>15529.207835184512</v>
      </c>
      <c r="O26" s="47">
        <f>FORECAST($M$3,E26:N26,$C$3:$L$3)</f>
        <v>16173.497751635063</v>
      </c>
      <c r="P26" s="47">
        <f t="shared" si="37"/>
        <v>16893.30838380738</v>
      </c>
      <c r="Q26" s="47">
        <f t="shared" si="37"/>
        <v>17434.684980529826</v>
      </c>
    </row>
    <row r="27" spans="2:17" x14ac:dyDescent="0.35">
      <c r="B27" s="37" t="s">
        <v>109</v>
      </c>
      <c r="C27" s="39">
        <f>C26/C6</f>
        <v>0.1854230746034618</v>
      </c>
      <c r="D27" s="39">
        <f t="shared" ref="D27:Q27" si="38">D26/D6</f>
        <v>0.19155999437332957</v>
      </c>
      <c r="E27" s="39">
        <f t="shared" si="38"/>
        <v>0.21129483591961332</v>
      </c>
      <c r="F27" s="39">
        <f t="shared" si="38"/>
        <v>0.21428750974034136</v>
      </c>
      <c r="G27" s="39">
        <f t="shared" si="38"/>
        <v>0.2046653057752828</v>
      </c>
      <c r="H27" s="39">
        <f t="shared" si="38"/>
        <v>0.22148495595469625</v>
      </c>
      <c r="I27" s="39">
        <f t="shared" si="38"/>
        <v>0.21039947177286233</v>
      </c>
      <c r="J27" s="39">
        <f t="shared" si="38"/>
        <v>0.21143531084399639</v>
      </c>
      <c r="K27" s="39">
        <f t="shared" si="38"/>
        <v>0.20894208192016697</v>
      </c>
      <c r="L27" s="39">
        <f t="shared" si="38"/>
        <v>0.19293292796426134</v>
      </c>
      <c r="M27" s="45">
        <f t="shared" si="38"/>
        <v>0.2082725364599903</v>
      </c>
      <c r="N27" s="45">
        <f t="shared" si="38"/>
        <v>0.20655420156390278</v>
      </c>
      <c r="O27" s="45">
        <f t="shared" si="38"/>
        <v>0.20427156988237838</v>
      </c>
      <c r="P27" s="45">
        <f t="shared" si="38"/>
        <v>0.20321610680394583</v>
      </c>
      <c r="Q27" s="45">
        <f t="shared" si="38"/>
        <v>0.20241800059871987</v>
      </c>
    </row>
    <row r="28" spans="2:17" x14ac:dyDescent="0.35"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44"/>
      <c r="N28" s="44"/>
      <c r="O28" s="44"/>
      <c r="P28" s="44"/>
      <c r="Q28" s="44"/>
    </row>
    <row r="29" spans="2:17" x14ac:dyDescent="0.35">
      <c r="B29" t="s">
        <v>13</v>
      </c>
      <c r="C29" s="36">
        <f>'Data Sheet'!B29</f>
        <v>1977</v>
      </c>
      <c r="D29" s="36">
        <f>'Data Sheet'!C29</f>
        <v>2079</v>
      </c>
      <c r="E29" s="36">
        <f>'Data Sheet'!D29</f>
        <v>2544</v>
      </c>
      <c r="F29" s="36">
        <f>'Data Sheet'!E29</f>
        <v>2409</v>
      </c>
      <c r="G29" s="36">
        <f>'Data Sheet'!F29</f>
        <v>2606</v>
      </c>
      <c r="H29" s="36">
        <f>'Data Sheet'!G29</f>
        <v>2987</v>
      </c>
      <c r="I29" s="36">
        <f>'Data Sheet'!H29</f>
        <v>3201</v>
      </c>
      <c r="J29" s="36">
        <f>'Data Sheet'!I29</f>
        <v>3644</v>
      </c>
      <c r="K29" s="36">
        <f>'Data Sheet'!J29</f>
        <v>3748</v>
      </c>
      <c r="L29" s="36">
        <f>'Data Sheet'!K29</f>
        <v>3160</v>
      </c>
      <c r="M29" s="46">
        <f>FORECAST($M$3,C29:L29,$C$3:$L$3)</f>
        <v>3854.8743826148057</v>
      </c>
      <c r="N29" s="46">
        <f t="shared" ref="N29:Q29" si="39">FORECAST($M$3,D29:M29,$C$3:$L$3)</f>
        <v>4033.6584877070709</v>
      </c>
      <c r="O29" s="46">
        <f t="shared" si="39"/>
        <v>4185.991522089942</v>
      </c>
      <c r="P29" s="46">
        <f t="shared" si="39"/>
        <v>4393.0206814634221</v>
      </c>
      <c r="Q29" s="46">
        <f t="shared" si="39"/>
        <v>4537.3294693509779</v>
      </c>
    </row>
    <row r="30" spans="2:17" x14ac:dyDescent="0.35"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46"/>
      <c r="N30" s="46"/>
      <c r="O30" s="46"/>
      <c r="P30" s="46"/>
      <c r="Q30" s="46"/>
    </row>
    <row r="31" spans="2:17" x14ac:dyDescent="0.35">
      <c r="B31" s="41" t="s">
        <v>107</v>
      </c>
      <c r="C31" s="42">
        <f>C26-C29</f>
        <v>4172</v>
      </c>
      <c r="D31" s="42">
        <f t="shared" ref="D31:L31" si="40">D26-D29</f>
        <v>4730</v>
      </c>
      <c r="E31" s="42">
        <f t="shared" si="40"/>
        <v>5762</v>
      </c>
      <c r="F31" s="42">
        <f t="shared" si="40"/>
        <v>6116</v>
      </c>
      <c r="G31" s="42">
        <f t="shared" si="40"/>
        <v>7019</v>
      </c>
      <c r="H31" s="42">
        <f t="shared" si="40"/>
        <v>8629</v>
      </c>
      <c r="I31" s="42">
        <f t="shared" si="40"/>
        <v>9545</v>
      </c>
      <c r="J31" s="42">
        <f t="shared" si="40"/>
        <v>9443</v>
      </c>
      <c r="K31" s="42">
        <f t="shared" si="40"/>
        <v>9066</v>
      </c>
      <c r="L31" s="42">
        <f t="shared" si="40"/>
        <v>9278</v>
      </c>
      <c r="M31" s="47">
        <f>FORECAST($M$3,C31:L31,$C$3:$L$3)</f>
        <v>10928.810958598318</v>
      </c>
      <c r="N31" s="47">
        <f t="shared" ref="N31:Q31" si="41">FORECAST($M$3,D31:M31,$C$3:$L$3)</f>
        <v>11495.549347477441</v>
      </c>
      <c r="O31" s="47">
        <f t="shared" si="41"/>
        <v>11987.506229545121</v>
      </c>
      <c r="P31" s="47">
        <f t="shared" si="41"/>
        <v>12500.287702343951</v>
      </c>
      <c r="Q31" s="47">
        <f t="shared" si="41"/>
        <v>12897.355511178845</v>
      </c>
    </row>
    <row r="32" spans="2:17" x14ac:dyDescent="0.35">
      <c r="B32" s="39" t="s">
        <v>108</v>
      </c>
      <c r="C32" s="39">
        <f>C31/C6</f>
        <v>0.12580664616126891</v>
      </c>
      <c r="D32" s="39">
        <f t="shared" ref="D32:L32" si="42">D31/D6</f>
        <v>0.13307075538050359</v>
      </c>
      <c r="E32" s="39">
        <f t="shared" si="42"/>
        <v>0.1465784787585856</v>
      </c>
      <c r="F32" s="39">
        <f t="shared" si="42"/>
        <v>0.1537340069879094</v>
      </c>
      <c r="G32" s="39">
        <f t="shared" si="42"/>
        <v>0.14925150973887896</v>
      </c>
      <c r="H32" s="39">
        <f t="shared" si="42"/>
        <v>0.1645311367883156</v>
      </c>
      <c r="I32" s="39">
        <f t="shared" si="42"/>
        <v>0.15756025090789039</v>
      </c>
      <c r="J32" s="39">
        <f t="shared" si="42"/>
        <v>0.15256236267287063</v>
      </c>
      <c r="K32" s="39">
        <f t="shared" si="42"/>
        <v>0.14782807200626141</v>
      </c>
      <c r="L32" s="39">
        <f t="shared" si="42"/>
        <v>0.14391636160575791</v>
      </c>
      <c r="M32" s="45">
        <f t="shared" ref="M32" si="43">M31/M6</f>
        <v>0.15396507205775201</v>
      </c>
      <c r="N32" s="45">
        <f t="shared" ref="N32" si="44">N31/N6</f>
        <v>0.15290245595315224</v>
      </c>
      <c r="O32" s="45">
        <f t="shared" ref="O32" si="45">O31/O6</f>
        <v>0.15140242105245413</v>
      </c>
      <c r="P32" s="45">
        <f t="shared" ref="P32" si="46">P31/P6</f>
        <v>0.15037077066766125</v>
      </c>
      <c r="Q32" s="45">
        <f t="shared" ref="Q32" si="47">Q31/Q6</f>
        <v>0.14973926506266971</v>
      </c>
    </row>
    <row r="37" spans="1:17" x14ac:dyDescent="0.35">
      <c r="A37" s="33" t="s">
        <v>94</v>
      </c>
      <c r="B37" s="33" t="s">
        <v>110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</row>
    <row r="38" spans="1:17" x14ac:dyDescent="0.35">
      <c r="B38" s="9" t="s">
        <v>24</v>
      </c>
      <c r="C38">
        <f>'Data Sheet'!B57</f>
        <v>216</v>
      </c>
      <c r="D38">
        <f>'Data Sheet'!C57</f>
        <v>216</v>
      </c>
      <c r="E38">
        <f>'Data Sheet'!D57</f>
        <v>216</v>
      </c>
      <c r="F38">
        <f>'Data Sheet'!E57</f>
        <v>216</v>
      </c>
      <c r="G38">
        <f>'Data Sheet'!F57</f>
        <v>235</v>
      </c>
      <c r="H38">
        <f>'Data Sheet'!G57</f>
        <v>235</v>
      </c>
      <c r="I38">
        <f>'Data Sheet'!H57</f>
        <v>235</v>
      </c>
      <c r="J38">
        <f>'Data Sheet'!I57</f>
        <v>235</v>
      </c>
      <c r="K38">
        <f>'Data Sheet'!J57</f>
        <v>235</v>
      </c>
      <c r="L38">
        <f>'Data Sheet'!K57</f>
        <v>235</v>
      </c>
      <c r="M38" s="55">
        <f>FORECAST($M$3,C38:L38,$C$3:$L$3)</f>
        <v>242.59678344373955</v>
      </c>
      <c r="N38" s="55">
        <f t="shared" ref="N38:Q38" si="48">FORECAST($M$3,D38:M38,$C$3:$L$3)</f>
        <v>245.63654352830176</v>
      </c>
      <c r="O38" s="55">
        <f t="shared" si="48"/>
        <v>248.11694781953534</v>
      </c>
      <c r="P38" s="55">
        <f t="shared" si="48"/>
        <v>249.61530036952195</v>
      </c>
      <c r="Q38" s="55">
        <f t="shared" si="48"/>
        <v>249.57226679668094</v>
      </c>
    </row>
    <row r="39" spans="1:17" x14ac:dyDescent="0.35">
      <c r="B39" s="9" t="s">
        <v>25</v>
      </c>
      <c r="C39">
        <f>'Data Sheet'!B58</f>
        <v>6528</v>
      </c>
      <c r="D39">
        <f>'Data Sheet'!C58</f>
        <v>7065</v>
      </c>
      <c r="E39">
        <f>'Data Sheet'!D58</f>
        <v>7651</v>
      </c>
      <c r="F39">
        <f>'Data Sheet'!E58</f>
        <v>8013</v>
      </c>
      <c r="G39">
        <f>'Data Sheet'!F58</f>
        <v>47439</v>
      </c>
      <c r="H39">
        <f>'Data Sheet'!G58</f>
        <v>48826</v>
      </c>
      <c r="I39">
        <f>'Data Sheet'!H58</f>
        <v>50069</v>
      </c>
      <c r="J39">
        <f>'Data Sheet'!I58</f>
        <v>50983</v>
      </c>
      <c r="K39">
        <f>'Data Sheet'!J58</f>
        <v>49167</v>
      </c>
      <c r="L39">
        <f>'Data Sheet'!K58</f>
        <v>48504</v>
      </c>
      <c r="M39" s="55">
        <f>FORECAST($M$3,C39:L39,$C$3:$L$3)</f>
        <v>66307.820145663456</v>
      </c>
      <c r="N39" s="55">
        <f t="shared" ref="N39:Q39" si="49">FORECAST($M$3,D39:M39,$C$3:$L$3)</f>
        <v>72957.340498476871</v>
      </c>
      <c r="O39" s="55">
        <f t="shared" si="49"/>
        <v>78420.602742954856</v>
      </c>
      <c r="P39" s="55">
        <f t="shared" si="49"/>
        <v>81835.860385812004</v>
      </c>
      <c r="Q39" s="55">
        <f t="shared" si="49"/>
        <v>81996.184557283588</v>
      </c>
    </row>
    <row r="40" spans="1:17" x14ac:dyDescent="0.35">
      <c r="B40" s="9" t="s">
        <v>71</v>
      </c>
      <c r="C40">
        <f>'Data Sheet'!B59</f>
        <v>277</v>
      </c>
      <c r="D40">
        <f>'Data Sheet'!C59</f>
        <v>0</v>
      </c>
      <c r="E40">
        <f>'Data Sheet'!D59</f>
        <v>99</v>
      </c>
      <c r="F40">
        <f>'Data Sheet'!E59</f>
        <v>0</v>
      </c>
      <c r="G40">
        <f>'Data Sheet'!F59</f>
        <v>0</v>
      </c>
      <c r="H40">
        <f>'Data Sheet'!G59</f>
        <v>1043</v>
      </c>
      <c r="I40">
        <f>'Data Sheet'!H59</f>
        <v>1219</v>
      </c>
      <c r="J40">
        <f>'Data Sheet'!I59</f>
        <v>1484</v>
      </c>
      <c r="K40">
        <f>'Data Sheet'!J59</f>
        <v>1648</v>
      </c>
      <c r="L40">
        <f>'Data Sheet'!K59</f>
        <v>1478</v>
      </c>
      <c r="M40" s="55">
        <f t="shared" ref="M40:Q41" si="50">FORECAST($M$3,C40:L40,$C$3:$L$3)</f>
        <v>1856.8914785613088</v>
      </c>
      <c r="N40" s="55">
        <f t="shared" si="50"/>
        <v>2190.2761546652764</v>
      </c>
      <c r="O40" s="55">
        <f t="shared" si="50"/>
        <v>2477.8980528151369</v>
      </c>
      <c r="P40" s="55">
        <f t="shared" si="50"/>
        <v>2760.8825366910278</v>
      </c>
      <c r="Q40" s="55">
        <f t="shared" si="50"/>
        <v>2972.0984764769164</v>
      </c>
    </row>
    <row r="41" spans="1:17" x14ac:dyDescent="0.35">
      <c r="B41" s="5" t="s">
        <v>72</v>
      </c>
      <c r="C41" s="90">
        <f>'Data Sheet'!B60-C42</f>
        <v>2499</v>
      </c>
      <c r="D41" s="90">
        <f>'Data Sheet'!C60-D42</f>
        <v>3411</v>
      </c>
      <c r="E41" s="90">
        <f>'Data Sheet'!D60-E42</f>
        <v>3457</v>
      </c>
      <c r="F41" s="90">
        <f>'Data Sheet'!E60-F42</f>
        <v>4389</v>
      </c>
      <c r="G41" s="90">
        <f>'Data Sheet'!F60-G42</f>
        <v>12264</v>
      </c>
      <c r="H41" s="90">
        <f>'Data Sheet'!G60-H42</f>
        <v>11334</v>
      </c>
      <c r="I41" s="90">
        <f>'Data Sheet'!H60-I42</f>
        <v>11980</v>
      </c>
      <c r="J41" s="90">
        <f>'Data Sheet'!I60-J42</f>
        <v>15301</v>
      </c>
      <c r="K41" s="90">
        <f>'Data Sheet'!J60-K42</f>
        <v>17498</v>
      </c>
      <c r="L41" s="90">
        <f>'Data Sheet'!K60-L42</f>
        <v>16196</v>
      </c>
      <c r="M41" s="55">
        <f t="shared" si="50"/>
        <v>19929.25088800845</v>
      </c>
      <c r="N41" s="55">
        <f t="shared" ref="N41" si="51">FORECAST($M$3,D41:M41,$C$3:$L$3)</f>
        <v>22012.279819730902</v>
      </c>
      <c r="O41" s="55">
        <f t="shared" ref="O41" si="52">FORECAST($M$3,E41:N41,$C$3:$L$3)</f>
        <v>24008.593771809537</v>
      </c>
      <c r="P41" s="55">
        <f t="shared" ref="P41" si="53">FORECAST($M$3,F41:O41,$C$3:$L$3)</f>
        <v>25576.954000373575</v>
      </c>
      <c r="Q41" s="55">
        <f t="shared" si="50"/>
        <v>26651.242343079473</v>
      </c>
    </row>
    <row r="42" spans="1:17" x14ac:dyDescent="0.35">
      <c r="B42" s="5" t="s">
        <v>204</v>
      </c>
      <c r="C42" s="90">
        <f>'Manual Data'!D39</f>
        <v>6186</v>
      </c>
      <c r="D42" s="90">
        <f>'Manual Data'!E39</f>
        <v>7170</v>
      </c>
      <c r="E42" s="90">
        <f>'Manual Data'!F39</f>
        <v>7206</v>
      </c>
      <c r="F42" s="90">
        <f>'Manual Data'!G39</f>
        <v>7535</v>
      </c>
      <c r="G42" s="90">
        <f>'Manual Data'!H39</f>
        <v>8802</v>
      </c>
      <c r="H42" s="90">
        <f>'Manual Data'!I39</f>
        <v>9068</v>
      </c>
      <c r="I42" s="90">
        <f>'Manual Data'!J39</f>
        <v>9574</v>
      </c>
      <c r="J42" s="90">
        <f>'Manual Data'!K39</f>
        <v>10486</v>
      </c>
      <c r="K42" s="90">
        <f>'Manual Data'!L39</f>
        <v>11315</v>
      </c>
      <c r="L42" s="90">
        <f>'Manual Data'!M39</f>
        <v>13325</v>
      </c>
      <c r="M42" s="55">
        <f>FORECAST($M$3,C42:L42,$C$3:$L$3)</f>
        <v>12934.191968898827</v>
      </c>
      <c r="N42" s="55">
        <f t="shared" ref="N42:Q42" si="54">FORECAST($M$3,D42:M42,$C$3:$L$3)</f>
        <v>13713.109506633627</v>
      </c>
      <c r="O42" s="55">
        <f t="shared" si="54"/>
        <v>14615.924264192159</v>
      </c>
      <c r="P42" s="55">
        <f t="shared" si="54"/>
        <v>15453.149936202361</v>
      </c>
      <c r="Q42" s="55">
        <f t="shared" si="54"/>
        <v>16219.305534648272</v>
      </c>
    </row>
    <row r="43" spans="1:17" x14ac:dyDescent="0.35">
      <c r="M43" s="55"/>
      <c r="N43" s="55"/>
      <c r="O43" s="55"/>
      <c r="P43" s="55"/>
      <c r="Q43" s="55"/>
    </row>
    <row r="44" spans="1:17" x14ac:dyDescent="0.35">
      <c r="B44" s="51" t="s">
        <v>111</v>
      </c>
      <c r="C44" s="52">
        <f>SUM(C38:C43)</f>
        <v>15706</v>
      </c>
      <c r="D44" s="52">
        <f t="shared" ref="D44:L44" si="55">SUM(D38:D43)</f>
        <v>17862</v>
      </c>
      <c r="E44" s="52">
        <f t="shared" si="55"/>
        <v>18629</v>
      </c>
      <c r="F44" s="52">
        <f t="shared" si="55"/>
        <v>20153</v>
      </c>
      <c r="G44" s="52">
        <f t="shared" si="55"/>
        <v>68740</v>
      </c>
      <c r="H44" s="52">
        <f t="shared" si="55"/>
        <v>70506</v>
      </c>
      <c r="I44" s="52">
        <f t="shared" si="55"/>
        <v>73077</v>
      </c>
      <c r="J44" s="52">
        <f t="shared" si="55"/>
        <v>78489</v>
      </c>
      <c r="K44" s="52">
        <f t="shared" si="55"/>
        <v>79863</v>
      </c>
      <c r="L44" s="52">
        <f t="shared" si="55"/>
        <v>79738</v>
      </c>
      <c r="M44" s="56">
        <f t="shared" ref="M44" si="56">SUM(M38:M43)</f>
        <v>101270.75126457577</v>
      </c>
      <c r="N44" s="56">
        <f t="shared" ref="N44" si="57">SUM(N38:N43)</f>
        <v>111118.64252303499</v>
      </c>
      <c r="O44" s="56">
        <f t="shared" ref="O44" si="58">SUM(O38:O43)</f>
        <v>119771.13577959123</v>
      </c>
      <c r="P44" s="56">
        <f t="shared" ref="P44" si="59">SUM(P38:P43)</f>
        <v>125876.46215944849</v>
      </c>
      <c r="Q44" s="56">
        <f t="shared" ref="Q44" si="60">SUM(Q38:Q43)</f>
        <v>128088.40317828493</v>
      </c>
    </row>
    <row r="45" spans="1:17" x14ac:dyDescent="0.35">
      <c r="M45" s="55"/>
      <c r="N45" s="55"/>
      <c r="O45" s="55"/>
      <c r="P45" s="55"/>
      <c r="Q45" s="55"/>
    </row>
    <row r="46" spans="1:17" x14ac:dyDescent="0.35">
      <c r="B46" s="9" t="s">
        <v>27</v>
      </c>
      <c r="C46">
        <f>'Data Sheet'!B62</f>
        <v>4419</v>
      </c>
      <c r="D46">
        <f>'Data Sheet'!C62</f>
        <v>4528</v>
      </c>
      <c r="E46">
        <f>'Data Sheet'!D62</f>
        <v>4715</v>
      </c>
      <c r="F46">
        <f>'Data Sheet'!E62</f>
        <v>5479</v>
      </c>
      <c r="G46">
        <f>'Data Sheet'!F62</f>
        <v>51443</v>
      </c>
      <c r="H46">
        <f>'Data Sheet'!G62</f>
        <v>51473</v>
      </c>
      <c r="I46">
        <f>'Data Sheet'!H62</f>
        <v>52678</v>
      </c>
      <c r="J46">
        <f>'Data Sheet'!I62</f>
        <v>53744</v>
      </c>
      <c r="K46">
        <f>'Data Sheet'!J62</f>
        <v>54335</v>
      </c>
      <c r="L46">
        <f>'Data Sheet'!K62</f>
        <v>57428</v>
      </c>
      <c r="M46" s="55">
        <f>FORECAST($M$3,C46:L46,$C$3:$L$3)</f>
        <v>74432.432030668366</v>
      </c>
      <c r="N46" s="55">
        <f t="shared" ref="N46:Q46" si="61">FORECAST($M$3,D46:M46,$C$3:$L$3)</f>
        <v>82703.451379335136</v>
      </c>
      <c r="O46" s="55">
        <f t="shared" si="61"/>
        <v>89639.339579126565</v>
      </c>
      <c r="P46" s="55">
        <f t="shared" si="61"/>
        <v>94191.226559373667</v>
      </c>
      <c r="Q46" s="55">
        <f t="shared" si="61"/>
        <v>95107.224150683149</v>
      </c>
    </row>
    <row r="47" spans="1:17" x14ac:dyDescent="0.35">
      <c r="B47" s="9" t="s">
        <v>28</v>
      </c>
      <c r="C47">
        <f>'Data Sheet'!B63</f>
        <v>229</v>
      </c>
      <c r="D47">
        <f>'Data Sheet'!C63</f>
        <v>461</v>
      </c>
      <c r="E47">
        <f>'Data Sheet'!D63</f>
        <v>406</v>
      </c>
      <c r="F47">
        <f>'Data Sheet'!E63</f>
        <v>597</v>
      </c>
      <c r="G47">
        <f>'Data Sheet'!F63</f>
        <v>745</v>
      </c>
      <c r="H47">
        <f>'Data Sheet'!G63</f>
        <v>1313</v>
      </c>
      <c r="I47">
        <f>'Data Sheet'!H63</f>
        <v>1132</v>
      </c>
      <c r="J47">
        <f>'Data Sheet'!I63</f>
        <v>1025</v>
      </c>
      <c r="K47">
        <f>'Data Sheet'!J63</f>
        <v>1009</v>
      </c>
      <c r="L47">
        <f>'Data Sheet'!K63</f>
        <v>880</v>
      </c>
      <c r="M47" s="55">
        <f>FORECAST($M$3,C47:L47,$C$3:$L$3)</f>
        <v>1278.3515622480863</v>
      </c>
      <c r="N47" s="55">
        <f t="shared" ref="N47:Q49" si="62">FORECAST($M$3,D47:M47,$C$3:$L$3)</f>
        <v>1330.9848145027809</v>
      </c>
      <c r="O47" s="55">
        <f t="shared" si="62"/>
        <v>1396.5814325251667</v>
      </c>
      <c r="P47" s="55">
        <f t="shared" si="62"/>
        <v>1415.7252665275</v>
      </c>
      <c r="Q47" s="55">
        <f t="shared" si="62"/>
        <v>1427.4111656454043</v>
      </c>
    </row>
    <row r="48" spans="1:17" x14ac:dyDescent="0.35">
      <c r="B48" s="9" t="s">
        <v>29</v>
      </c>
      <c r="C48">
        <f>'Data Sheet'!B64</f>
        <v>3794</v>
      </c>
      <c r="D48">
        <f>'Data Sheet'!C64</f>
        <v>2873</v>
      </c>
      <c r="E48">
        <f>'Data Sheet'!D64</f>
        <v>2716</v>
      </c>
      <c r="F48">
        <f>'Data Sheet'!E64</f>
        <v>1255</v>
      </c>
      <c r="G48">
        <f>'Data Sheet'!F64</f>
        <v>2709</v>
      </c>
      <c r="H48">
        <f>'Data Sheet'!G64</f>
        <v>3521</v>
      </c>
      <c r="I48">
        <f>'Data Sheet'!H64</f>
        <v>2882</v>
      </c>
      <c r="J48">
        <f>'Data Sheet'!I64</f>
        <v>4625</v>
      </c>
      <c r="K48">
        <f>'Data Sheet'!J64</f>
        <v>3810</v>
      </c>
      <c r="L48">
        <f>'Data Sheet'!K64</f>
        <v>4359</v>
      </c>
      <c r="M48" s="55">
        <f>FORECAST($M$3,C48:L48,$C$3:$L$3)</f>
        <v>4150.2863061336575</v>
      </c>
      <c r="N48" s="55">
        <f t="shared" si="62"/>
        <v>4652.4928029660587</v>
      </c>
      <c r="O48" s="55">
        <f t="shared" si="62"/>
        <v>5086.2253011510002</v>
      </c>
      <c r="P48" s="55">
        <f t="shared" si="62"/>
        <v>5532.7947005217648</v>
      </c>
      <c r="Q48" s="55">
        <f t="shared" si="62"/>
        <v>5610.8479097921809</v>
      </c>
    </row>
    <row r="49" spans="1:17" x14ac:dyDescent="0.35">
      <c r="B49" s="9" t="s">
        <v>73</v>
      </c>
      <c r="C49">
        <f>'Data Sheet'!B65-SUM('Data Sheet'!B67:B69)</f>
        <v>1810</v>
      </c>
      <c r="D49">
        <f>'Data Sheet'!C65-SUM('Data Sheet'!C67:C69)</f>
        <v>2692</v>
      </c>
      <c r="E49">
        <f>'Data Sheet'!D65-SUM('Data Sheet'!D67:D69)</f>
        <v>2645</v>
      </c>
      <c r="F49">
        <f>'Data Sheet'!E65-SUM('Data Sheet'!E67:E69)</f>
        <v>3793</v>
      </c>
      <c r="G49">
        <f>'Data Sheet'!F65-SUM('Data Sheet'!F67:F69)</f>
        <v>4035</v>
      </c>
      <c r="H49">
        <f>'Data Sheet'!G65-SUM('Data Sheet'!G67:G69)</f>
        <v>4021</v>
      </c>
      <c r="I49">
        <f>'Data Sheet'!H65-SUM('Data Sheet'!H67:H69)</f>
        <v>4377</v>
      </c>
      <c r="J49">
        <f>'Data Sheet'!I65-SUM('Data Sheet'!I67:I69)</f>
        <v>4517</v>
      </c>
      <c r="K49">
        <f>'Data Sheet'!J65-SUM('Data Sheet'!J67:J69)</f>
        <v>4921</v>
      </c>
      <c r="L49">
        <f>'Data Sheet'!K65-SUM('Data Sheet'!K67:K69)</f>
        <v>5655</v>
      </c>
      <c r="M49" s="55">
        <f>FORECAST($M$3,C49:L49,$C$3:$L$3)</f>
        <v>5889.7524874826195</v>
      </c>
      <c r="N49" s="55">
        <f t="shared" si="62"/>
        <v>6163.9286709569351</v>
      </c>
      <c r="O49" s="55">
        <f t="shared" si="62"/>
        <v>6510.9651691942636</v>
      </c>
      <c r="P49" s="55">
        <f t="shared" si="62"/>
        <v>6752.873922955645</v>
      </c>
      <c r="Q49" s="55">
        <f t="shared" si="62"/>
        <v>7139.8830954652367</v>
      </c>
    </row>
    <row r="50" spans="1:17" x14ac:dyDescent="0.35">
      <c r="M50" s="55"/>
      <c r="N50" s="55"/>
      <c r="O50" s="55"/>
      <c r="P50" s="55"/>
      <c r="Q50" s="55"/>
    </row>
    <row r="51" spans="1:17" x14ac:dyDescent="0.35">
      <c r="B51" s="53" t="s">
        <v>112</v>
      </c>
      <c r="C51" s="88">
        <f>SUM(C46:C50)</f>
        <v>10252</v>
      </c>
      <c r="D51" s="54">
        <f t="shared" ref="D51:L51" si="63">SUM(D46:D50)</f>
        <v>10554</v>
      </c>
      <c r="E51" s="54">
        <f t="shared" si="63"/>
        <v>10482</v>
      </c>
      <c r="F51" s="54">
        <f t="shared" si="63"/>
        <v>11124</v>
      </c>
      <c r="G51" s="54">
        <f t="shared" si="63"/>
        <v>58932</v>
      </c>
      <c r="H51" s="54">
        <f t="shared" si="63"/>
        <v>60328</v>
      </c>
      <c r="I51" s="54">
        <f t="shared" si="63"/>
        <v>61069</v>
      </c>
      <c r="J51" s="54">
        <f t="shared" si="63"/>
        <v>63911</v>
      </c>
      <c r="K51" s="54">
        <f t="shared" si="63"/>
        <v>64075</v>
      </c>
      <c r="L51" s="54">
        <f t="shared" si="63"/>
        <v>68322</v>
      </c>
      <c r="M51" s="57">
        <f t="shared" ref="M51" si="64">SUM(M46:M50)</f>
        <v>85750.822386532731</v>
      </c>
      <c r="N51" s="57">
        <f t="shared" ref="N51" si="65">SUM(N46:N50)</f>
        <v>94850.857667760894</v>
      </c>
      <c r="O51" s="57">
        <f t="shared" ref="O51" si="66">SUM(O46:O50)</f>
        <v>102633.11148199701</v>
      </c>
      <c r="P51" s="57">
        <f t="shared" ref="P51" si="67">SUM(P46:P50)</f>
        <v>107892.62044937859</v>
      </c>
      <c r="Q51" s="57">
        <f t="shared" ref="Q51" si="68">SUM(Q46:Q50)</f>
        <v>109285.36632158597</v>
      </c>
    </row>
    <row r="52" spans="1:17" x14ac:dyDescent="0.35">
      <c r="B52" s="9" t="s">
        <v>78</v>
      </c>
      <c r="C52" s="86">
        <f>'Data Sheet'!B67</f>
        <v>1085</v>
      </c>
      <c r="D52">
        <f>'Data Sheet'!C67</f>
        <v>1310</v>
      </c>
      <c r="E52">
        <f>'Data Sheet'!D67</f>
        <v>1816</v>
      </c>
      <c r="F52">
        <f>'Data Sheet'!E67</f>
        <v>1149</v>
      </c>
      <c r="G52">
        <f>'Data Sheet'!F67</f>
        <v>1758</v>
      </c>
      <c r="H52">
        <f>'Data Sheet'!G67</f>
        <v>2236</v>
      </c>
      <c r="I52">
        <f>'Data Sheet'!H67</f>
        <v>3079</v>
      </c>
      <c r="J52">
        <f>'Data Sheet'!I67</f>
        <v>2997</v>
      </c>
      <c r="K52">
        <f>'Data Sheet'!J67</f>
        <v>3819</v>
      </c>
      <c r="L52">
        <f>'Data Sheet'!K67</f>
        <v>3379</v>
      </c>
      <c r="M52" s="55">
        <f>FORECAST($M$3,C52:L52,$C$3:$L$3)</f>
        <v>3941.7873582625616</v>
      </c>
      <c r="N52" s="55">
        <f t="shared" ref="N52:N54" si="69">FORECAST($M$3,D52:M52,$C$3:$L$3)</f>
        <v>4299.3986713807535</v>
      </c>
      <c r="O52" s="55">
        <f t="shared" ref="O52:O54" si="70">FORECAST($M$3,E52:N52,$C$3:$L$3)</f>
        <v>4669.4478006546124</v>
      </c>
      <c r="P52" s="55">
        <f t="shared" ref="P52:P54" si="71">FORECAST($M$3,F52:O52,$C$3:$L$3)</f>
        <v>5123.2224675598336</v>
      </c>
      <c r="Q52" s="55">
        <f t="shared" ref="Q52:Q54" si="72">FORECAST($M$3,G52:P52,$C$3:$L$3)</f>
        <v>5390.3826191990811</v>
      </c>
    </row>
    <row r="53" spans="1:17" x14ac:dyDescent="0.35">
      <c r="B53" s="9" t="s">
        <v>45</v>
      </c>
      <c r="C53" s="86">
        <f>'Data Sheet'!B68</f>
        <v>2541</v>
      </c>
      <c r="D53">
        <f>'Data Sheet'!C68</f>
        <v>2513</v>
      </c>
      <c r="E53">
        <f>'Data Sheet'!D68</f>
        <v>2574</v>
      </c>
      <c r="F53">
        <f>'Data Sheet'!E68</f>
        <v>2767</v>
      </c>
      <c r="G53">
        <f>'Data Sheet'!F68</f>
        <v>3579</v>
      </c>
      <c r="H53">
        <f>'Data Sheet'!G68</f>
        <v>4096</v>
      </c>
      <c r="I53">
        <f>'Data Sheet'!H68</f>
        <v>4251</v>
      </c>
      <c r="J53">
        <f>'Data Sheet'!I68</f>
        <v>4022</v>
      </c>
      <c r="K53">
        <f>'Data Sheet'!J68</f>
        <v>4415</v>
      </c>
      <c r="L53">
        <f>'Data Sheet'!K68</f>
        <v>4789</v>
      </c>
      <c r="M53" s="55">
        <f>FORECAST($M$3,C53:L53,$C$3:$L$3)</f>
        <v>5079.521768605784</v>
      </c>
      <c r="N53" s="55">
        <f t="shared" si="69"/>
        <v>5419.2053839595428</v>
      </c>
      <c r="O53" s="55">
        <f t="shared" si="70"/>
        <v>5717.9674987638246</v>
      </c>
      <c r="P53" s="55">
        <f t="shared" si="71"/>
        <v>5958.7304018409122</v>
      </c>
      <c r="Q53" s="55">
        <f t="shared" si="72"/>
        <v>6137.7248249718323</v>
      </c>
    </row>
    <row r="54" spans="1:17" x14ac:dyDescent="0.35">
      <c r="B54" s="5" t="s">
        <v>87</v>
      </c>
      <c r="C54" s="86">
        <f>'Data Sheet'!B69</f>
        <v>1828</v>
      </c>
      <c r="D54">
        <f>'Data Sheet'!C69</f>
        <v>3485</v>
      </c>
      <c r="E54">
        <f>'Data Sheet'!D69</f>
        <v>3757</v>
      </c>
      <c r="F54">
        <f>'Data Sheet'!E69</f>
        <v>5113</v>
      </c>
      <c r="G54">
        <f>'Data Sheet'!F69</f>
        <v>4471</v>
      </c>
      <c r="H54">
        <f>'Data Sheet'!G69</f>
        <v>3846</v>
      </c>
      <c r="I54">
        <f>'Data Sheet'!H69</f>
        <v>4678</v>
      </c>
      <c r="J54">
        <f>'Data Sheet'!I69</f>
        <v>7559</v>
      </c>
      <c r="K54">
        <f>'Data Sheet'!J69</f>
        <v>7554</v>
      </c>
      <c r="L54">
        <f>'Data Sheet'!K69</f>
        <v>3248</v>
      </c>
      <c r="M54" s="55">
        <f t="shared" ref="M54" si="73">FORECAST($M$3,C54:L54,$C$3:$L$3)</f>
        <v>6498.619751174745</v>
      </c>
      <c r="N54" s="55">
        <f t="shared" si="69"/>
        <v>6549.1807999338198</v>
      </c>
      <c r="O54" s="55">
        <f t="shared" si="70"/>
        <v>6750.6089981758487</v>
      </c>
      <c r="P54" s="55">
        <f t="shared" si="71"/>
        <v>6901.8888406691185</v>
      </c>
      <c r="Q54" s="55">
        <f t="shared" si="72"/>
        <v>7274.9294125280721</v>
      </c>
    </row>
    <row r="55" spans="1:17" x14ac:dyDescent="0.35">
      <c r="B55" s="53" t="s">
        <v>113</v>
      </c>
      <c r="C55" s="88">
        <f t="shared" ref="C55:L55" si="74">SUM(C52:C54)</f>
        <v>5454</v>
      </c>
      <c r="D55" s="54">
        <f t="shared" si="74"/>
        <v>7308</v>
      </c>
      <c r="E55" s="54">
        <f t="shared" si="74"/>
        <v>8147</v>
      </c>
      <c r="F55" s="54">
        <f t="shared" si="74"/>
        <v>9029</v>
      </c>
      <c r="G55" s="54">
        <f t="shared" si="74"/>
        <v>9808</v>
      </c>
      <c r="H55" s="54">
        <f t="shared" si="74"/>
        <v>10178</v>
      </c>
      <c r="I55" s="54">
        <f t="shared" si="74"/>
        <v>12008</v>
      </c>
      <c r="J55" s="54">
        <f t="shared" si="74"/>
        <v>14578</v>
      </c>
      <c r="K55" s="54">
        <f t="shared" si="74"/>
        <v>15788</v>
      </c>
      <c r="L55" s="135">
        <f t="shared" si="74"/>
        <v>11416</v>
      </c>
      <c r="M55" s="57">
        <f t="shared" ref="M55:Q55" si="75">SUM(M52:M54)</f>
        <v>15519.928878043091</v>
      </c>
      <c r="N55" s="57">
        <f t="shared" si="75"/>
        <v>16267.784855274116</v>
      </c>
      <c r="O55" s="57">
        <f t="shared" si="75"/>
        <v>17138.024297594286</v>
      </c>
      <c r="P55" s="57">
        <f t="shared" si="75"/>
        <v>17983.841710069864</v>
      </c>
      <c r="Q55" s="57">
        <f t="shared" si="75"/>
        <v>18803.036856698986</v>
      </c>
    </row>
    <row r="56" spans="1:17" x14ac:dyDescent="0.35">
      <c r="C56" s="86"/>
      <c r="M56" s="55"/>
      <c r="N56" s="55"/>
      <c r="O56" s="55"/>
      <c r="P56" s="55"/>
      <c r="Q56" s="55"/>
    </row>
    <row r="57" spans="1:17" x14ac:dyDescent="0.35">
      <c r="A57" s="52"/>
      <c r="B57" s="52" t="s">
        <v>114</v>
      </c>
      <c r="C57" s="89">
        <f>C51+C55</f>
        <v>15706</v>
      </c>
      <c r="D57" s="89">
        <f t="shared" ref="D57:K57" si="76">D51+D55</f>
        <v>17862</v>
      </c>
      <c r="E57" s="89">
        <f t="shared" si="76"/>
        <v>18629</v>
      </c>
      <c r="F57" s="89">
        <f t="shared" si="76"/>
        <v>20153</v>
      </c>
      <c r="G57" s="89">
        <f t="shared" si="76"/>
        <v>68740</v>
      </c>
      <c r="H57" s="89">
        <f t="shared" si="76"/>
        <v>70506</v>
      </c>
      <c r="I57" s="89">
        <f t="shared" si="76"/>
        <v>73077</v>
      </c>
      <c r="J57" s="89">
        <f t="shared" si="76"/>
        <v>78489</v>
      </c>
      <c r="K57" s="89">
        <f t="shared" si="76"/>
        <v>79863</v>
      </c>
      <c r="L57" s="89">
        <f t="shared" ref="L57:Q57" si="77">SUM(L55,L51)</f>
        <v>79738</v>
      </c>
      <c r="M57" s="56">
        <f t="shared" si="77"/>
        <v>101270.75126457583</v>
      </c>
      <c r="N57" s="56">
        <f t="shared" si="77"/>
        <v>111118.64252303501</v>
      </c>
      <c r="O57" s="56">
        <f t="shared" si="77"/>
        <v>119771.13577959129</v>
      </c>
      <c r="P57" s="56">
        <f t="shared" si="77"/>
        <v>125876.46215944845</v>
      </c>
      <c r="Q57" s="56">
        <f t="shared" si="77"/>
        <v>128088.40317828496</v>
      </c>
    </row>
    <row r="61" spans="1:17" x14ac:dyDescent="0.35">
      <c r="A61" s="32" t="s">
        <v>94</v>
      </c>
      <c r="B61" s="33" t="s">
        <v>115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 spans="1:17" x14ac:dyDescent="0.35">
      <c r="B62" s="32" t="s">
        <v>144</v>
      </c>
      <c r="C62" s="32"/>
    </row>
    <row r="63" spans="1:17" x14ac:dyDescent="0.35">
      <c r="B63" t="s">
        <v>145</v>
      </c>
      <c r="C63" s="77">
        <f>C21</f>
        <v>6184</v>
      </c>
      <c r="D63" s="77">
        <f t="shared" ref="D63:L63" si="78">D21</f>
        <v>6835</v>
      </c>
      <c r="E63" s="77">
        <f t="shared" si="78"/>
        <v>8339</v>
      </c>
      <c r="F63" s="77">
        <f t="shared" si="78"/>
        <v>8643</v>
      </c>
      <c r="G63" s="77">
        <f t="shared" si="78"/>
        <v>9742</v>
      </c>
      <c r="H63" s="77">
        <f t="shared" si="78"/>
        <v>11722</v>
      </c>
      <c r="I63" s="77">
        <f t="shared" si="78"/>
        <v>12860</v>
      </c>
      <c r="J63" s="77">
        <f t="shared" si="78"/>
        <v>13421</v>
      </c>
      <c r="K63" s="77">
        <f t="shared" si="78"/>
        <v>13195</v>
      </c>
      <c r="L63" s="77">
        <f t="shared" si="78"/>
        <v>12848</v>
      </c>
      <c r="M63" s="79">
        <f>FORECAST($M$3,C63:L63,$C$3:$L$3)</f>
        <v>15195.787551568297</v>
      </c>
      <c r="N63" s="79">
        <f t="shared" ref="N63:Q63" si="79">FORECAST($M$3,D63:M63,$C$3:$L$3)</f>
        <v>16003.861092758321</v>
      </c>
      <c r="O63" s="79">
        <f t="shared" si="79"/>
        <v>16708.192373915183</v>
      </c>
      <c r="P63" s="79">
        <f t="shared" si="79"/>
        <v>17484.034675554023</v>
      </c>
      <c r="Q63" s="79">
        <f t="shared" si="79"/>
        <v>18093.086842889097</v>
      </c>
    </row>
    <row r="64" spans="1:17" x14ac:dyDescent="0.35">
      <c r="B64" t="s">
        <v>78</v>
      </c>
      <c r="C64" s="77">
        <f>'Manual Data'!D3</f>
        <v>173</v>
      </c>
      <c r="D64" s="77">
        <f>'Manual Data'!E3</f>
        <v>0</v>
      </c>
      <c r="E64" s="77">
        <f>'Manual Data'!F3</f>
        <v>0</v>
      </c>
      <c r="F64" s="77">
        <f>'Manual Data'!G3</f>
        <v>0</v>
      </c>
      <c r="G64" s="77">
        <f>'Manual Data'!H3</f>
        <v>0</v>
      </c>
      <c r="H64" s="77">
        <f>'Manual Data'!I3</f>
        <v>0</v>
      </c>
      <c r="I64" s="77">
        <f>'Manual Data'!J3</f>
        <v>0</v>
      </c>
      <c r="J64" s="77">
        <f>'Manual Data'!K3</f>
        <v>0</v>
      </c>
      <c r="K64" s="77">
        <f>'Manual Data'!L3</f>
        <v>0</v>
      </c>
      <c r="L64" s="77">
        <f>'Manual Data'!M3</f>
        <v>0</v>
      </c>
      <c r="M64" s="79">
        <f>FORECAST($M$3,C64:L64,$C$3:$L$3)</f>
        <v>-34.585070920337785</v>
      </c>
      <c r="N64" s="79">
        <f t="shared" ref="N64:Q74" si="80">FORECAST($M$3,D64:M64,$C$3:$L$3)</f>
        <v>-13.831043840511455</v>
      </c>
      <c r="O64" s="79">
        <f t="shared" si="80"/>
        <v>-17.058662156533728</v>
      </c>
      <c r="P64" s="79">
        <f t="shared" si="80"/>
        <v>-20.655805794381308</v>
      </c>
      <c r="Q64" s="79">
        <f t="shared" si="80"/>
        <v>-24.548959973767467</v>
      </c>
    </row>
    <row r="65" spans="2:17" x14ac:dyDescent="0.35">
      <c r="B65" t="s">
        <v>45</v>
      </c>
      <c r="C65" s="77">
        <f>'Manual Data'!D4</f>
        <v>37</v>
      </c>
      <c r="D65" s="77">
        <f>'Manual Data'!E4</f>
        <v>-146</v>
      </c>
      <c r="E65" s="77">
        <f>'Manual Data'!F4</f>
        <v>-195</v>
      </c>
      <c r="F65" s="77">
        <f>'Manual Data'!G4</f>
        <v>-331</v>
      </c>
      <c r="G65" s="77">
        <f>'Manual Data'!H4</f>
        <v>-543</v>
      </c>
      <c r="H65" s="77">
        <f>'Manual Data'!I4</f>
        <v>-758</v>
      </c>
      <c r="I65" s="77">
        <f>'Manual Data'!J4</f>
        <v>-339</v>
      </c>
      <c r="J65" s="77">
        <f>'Manual Data'!K4</f>
        <v>74</v>
      </c>
      <c r="K65" s="77">
        <f>'Manual Data'!L4</f>
        <v>-584</v>
      </c>
      <c r="L65" s="77">
        <f>'Manual Data'!M4</f>
        <v>-692</v>
      </c>
      <c r="M65" s="79">
        <f>FORECAST($M$3,C65:L65,$C$3:$L$3)</f>
        <v>-631.64272969945523</v>
      </c>
      <c r="N65" s="79">
        <f t="shared" si="80"/>
        <v>-642.74482881165204</v>
      </c>
      <c r="O65" s="79">
        <f t="shared" si="80"/>
        <v>-662.36508065863291</v>
      </c>
      <c r="P65" s="79">
        <f t="shared" si="80"/>
        <v>-669.74565711317655</v>
      </c>
      <c r="Q65" s="79">
        <f t="shared" si="80"/>
        <v>-685.28235317484769</v>
      </c>
    </row>
    <row r="66" spans="2:17" x14ac:dyDescent="0.35">
      <c r="B66" t="s">
        <v>117</v>
      </c>
      <c r="C66" s="77">
        <f>'Manual Data'!D5</f>
        <v>501</v>
      </c>
      <c r="D66" s="77">
        <f>'Manual Data'!E5</f>
        <v>0</v>
      </c>
      <c r="E66" s="77">
        <f>'Manual Data'!F5</f>
        <v>0</v>
      </c>
      <c r="F66" s="77">
        <f>'Manual Data'!G5</f>
        <v>0</v>
      </c>
      <c r="G66" s="77">
        <f>'Manual Data'!H5</f>
        <v>0</v>
      </c>
      <c r="H66" s="77">
        <f>'Manual Data'!I5</f>
        <v>0</v>
      </c>
      <c r="I66" s="77">
        <f>'Manual Data'!J5</f>
        <v>0</v>
      </c>
      <c r="J66" s="77">
        <f>'Manual Data'!K5</f>
        <v>0</v>
      </c>
      <c r="K66" s="77">
        <f>'Manual Data'!L5</f>
        <v>0</v>
      </c>
      <c r="L66" s="77">
        <f>'Manual Data'!M5</f>
        <v>0</v>
      </c>
      <c r="M66" s="79">
        <f t="shared" ref="M66:M74" si="81">FORECAST($M$3,C66:L66,$C$3:$L$3)</f>
        <v>-100.15676607566047</v>
      </c>
      <c r="N66" s="79">
        <f t="shared" si="80"/>
        <v>-40.054063376279032</v>
      </c>
      <c r="O66" s="79">
        <f t="shared" si="80"/>
        <v>-49.401096765453076</v>
      </c>
      <c r="P66" s="79">
        <f t="shared" si="80"/>
        <v>-59.81825839875728</v>
      </c>
      <c r="Q66" s="79">
        <f t="shared" si="80"/>
        <v>-71.092652872008557</v>
      </c>
    </row>
    <row r="67" spans="2:17" x14ac:dyDescent="0.35">
      <c r="B67" t="s">
        <v>146</v>
      </c>
      <c r="C67" s="77">
        <f>'Manual Data'!D6</f>
        <v>0</v>
      </c>
      <c r="D67" s="77">
        <f>'Manual Data'!E6</f>
        <v>0</v>
      </c>
      <c r="E67" s="77">
        <f>'Manual Data'!F6</f>
        <v>0</v>
      </c>
      <c r="F67" s="77">
        <f>'Manual Data'!G6</f>
        <v>0</v>
      </c>
      <c r="G67" s="77">
        <f>'Manual Data'!H6</f>
        <v>0</v>
      </c>
      <c r="H67" s="77">
        <f>'Manual Data'!I6</f>
        <v>0</v>
      </c>
      <c r="I67" s="77">
        <f>'Manual Data'!J6</f>
        <v>0</v>
      </c>
      <c r="J67" s="77">
        <f>'Manual Data'!K6</f>
        <v>0</v>
      </c>
      <c r="K67" s="77">
        <f>'Manual Data'!L6</f>
        <v>0</v>
      </c>
      <c r="L67" s="77">
        <f>'Manual Data'!M6</f>
        <v>0</v>
      </c>
      <c r="M67" s="79">
        <f t="shared" si="81"/>
        <v>0</v>
      </c>
      <c r="N67" s="79">
        <f t="shared" si="80"/>
        <v>0</v>
      </c>
      <c r="O67" s="79">
        <f t="shared" si="80"/>
        <v>0</v>
      </c>
      <c r="P67" s="79">
        <f t="shared" si="80"/>
        <v>0</v>
      </c>
      <c r="Q67" s="79">
        <f t="shared" si="80"/>
        <v>0</v>
      </c>
    </row>
    <row r="68" spans="2:17" x14ac:dyDescent="0.35">
      <c r="B68" t="s">
        <v>119</v>
      </c>
      <c r="C68" s="77">
        <f>'Manual Data'!D7</f>
        <v>-46</v>
      </c>
      <c r="D68" s="77">
        <f>'Manual Data'!E7</f>
        <v>0</v>
      </c>
      <c r="E68" s="77">
        <f>'Manual Data'!F7</f>
        <v>0</v>
      </c>
      <c r="F68" s="77">
        <f>'Manual Data'!G7</f>
        <v>0</v>
      </c>
      <c r="G68" s="77">
        <f>'Manual Data'!H7</f>
        <v>0</v>
      </c>
      <c r="H68" s="77">
        <f>'Manual Data'!I7</f>
        <v>0</v>
      </c>
      <c r="I68" s="77">
        <f>'Manual Data'!J7</f>
        <v>0</v>
      </c>
      <c r="J68" s="77">
        <f>'Manual Data'!K7</f>
        <v>0</v>
      </c>
      <c r="K68" s="77">
        <f>'Manual Data'!L7</f>
        <v>0</v>
      </c>
      <c r="L68" s="77">
        <f>'Manual Data'!M7</f>
        <v>0</v>
      </c>
      <c r="M68" s="79">
        <f t="shared" si="81"/>
        <v>9.196030418124451</v>
      </c>
      <c r="N68" s="79">
        <f t="shared" si="80"/>
        <v>3.6776185934307719</v>
      </c>
      <c r="O68" s="79">
        <f t="shared" si="80"/>
        <v>4.535829243933776</v>
      </c>
      <c r="P68" s="79">
        <f t="shared" si="80"/>
        <v>5.4922951823209871</v>
      </c>
      <c r="Q68" s="79">
        <f t="shared" si="80"/>
        <v>6.5274691259728002</v>
      </c>
    </row>
    <row r="69" spans="2:17" x14ac:dyDescent="0.35">
      <c r="B69" t="s">
        <v>120</v>
      </c>
      <c r="C69" s="77">
        <f>'Manual Data'!D8</f>
        <v>-99</v>
      </c>
      <c r="D69" s="77">
        <f>'Manual Data'!E8</f>
        <v>982</v>
      </c>
      <c r="E69" s="77">
        <f>'Manual Data'!F8</f>
        <v>-147</v>
      </c>
      <c r="F69" s="77">
        <f>'Manual Data'!G8</f>
        <v>742</v>
      </c>
      <c r="G69" s="77">
        <f>'Manual Data'!H8</f>
        <v>442</v>
      </c>
      <c r="H69" s="77">
        <f>'Manual Data'!I8</f>
        <v>-242</v>
      </c>
      <c r="I69" s="77">
        <f>'Manual Data'!J8</f>
        <v>-621</v>
      </c>
      <c r="J69" s="77">
        <f>'Manual Data'!K8</f>
        <v>1239</v>
      </c>
      <c r="K69" s="77">
        <f>'Manual Data'!L8</f>
        <v>-204</v>
      </c>
      <c r="L69" s="77">
        <f>'Manual Data'!M8</f>
        <v>1378</v>
      </c>
      <c r="M69" s="79">
        <f t="shared" si="81"/>
        <v>585.35922254677553</v>
      </c>
      <c r="N69" s="79">
        <f t="shared" si="80"/>
        <v>561.5792778455575</v>
      </c>
      <c r="O69" s="79">
        <f t="shared" si="80"/>
        <v>771.13322070697541</v>
      </c>
      <c r="P69" s="79">
        <f t="shared" si="80"/>
        <v>791.42791736536492</v>
      </c>
      <c r="Q69" s="79">
        <f t="shared" si="80"/>
        <v>995.83535683502305</v>
      </c>
    </row>
    <row r="70" spans="2:17" x14ac:dyDescent="0.35">
      <c r="B70" t="s">
        <v>121</v>
      </c>
      <c r="C70" s="77">
        <f>'Manual Data'!D9</f>
        <v>566</v>
      </c>
      <c r="D70" s="77">
        <f>'Manual Data'!E9</f>
        <v>836</v>
      </c>
      <c r="E70" s="77">
        <f>'Manual Data'!F9</f>
        <v>-342</v>
      </c>
      <c r="F70" s="77">
        <f>'Manual Data'!G9</f>
        <v>411</v>
      </c>
      <c r="G70" s="77">
        <f>'Manual Data'!H9</f>
        <v>-101</v>
      </c>
      <c r="H70" s="77">
        <f>'Manual Data'!I9</f>
        <v>-1000</v>
      </c>
      <c r="I70" s="77">
        <f>'Manual Data'!J9</f>
        <v>-960</v>
      </c>
      <c r="J70" s="77">
        <f>'Manual Data'!K9</f>
        <v>1313</v>
      </c>
      <c r="K70" s="77">
        <f>'Manual Data'!L9</f>
        <v>-788</v>
      </c>
      <c r="L70" s="77">
        <f>'Manual Data'!M9</f>
        <v>686</v>
      </c>
      <c r="M70" s="79">
        <f t="shared" si="81"/>
        <v>-171.82931373055362</v>
      </c>
      <c r="N70" s="79">
        <f t="shared" si="80"/>
        <v>-131.37303958945495</v>
      </c>
      <c r="O70" s="79">
        <f t="shared" si="80"/>
        <v>46.844210370286874</v>
      </c>
      <c r="P70" s="79">
        <f t="shared" si="80"/>
        <v>46.700491241369036</v>
      </c>
      <c r="Q70" s="79">
        <f t="shared" si="80"/>
        <v>221.43885994037191</v>
      </c>
    </row>
    <row r="71" spans="2:17" x14ac:dyDescent="0.35">
      <c r="B71" t="s">
        <v>122</v>
      </c>
      <c r="C71" s="77">
        <f>'Manual Data'!D10</f>
        <v>-1859</v>
      </c>
      <c r="D71" s="77">
        <f>'Manual Data'!E10</f>
        <v>-2264</v>
      </c>
      <c r="E71" s="77">
        <f>'Manual Data'!F10</f>
        <v>-2767</v>
      </c>
      <c r="F71" s="77">
        <f>'Manual Data'!G10</f>
        <v>-2505</v>
      </c>
      <c r="G71" s="77">
        <f>'Manual Data'!H10</f>
        <v>-2407</v>
      </c>
      <c r="H71" s="77">
        <f>'Manual Data'!I10</f>
        <v>-2784</v>
      </c>
      <c r="I71" s="77">
        <f>'Manual Data'!J10</f>
        <v>-3138</v>
      </c>
      <c r="J71" s="77">
        <f>'Manual Data'!K10</f>
        <v>-381</v>
      </c>
      <c r="K71" s="77">
        <f>'Manual Data'!L10</f>
        <v>-2268</v>
      </c>
      <c r="L71" s="77">
        <f>'Manual Data'!M10</f>
        <v>-4840</v>
      </c>
      <c r="M71" s="79">
        <f t="shared" si="81"/>
        <v>-3094.3288836307347</v>
      </c>
      <c r="N71" s="79">
        <f t="shared" si="80"/>
        <v>-3147.3679125052859</v>
      </c>
      <c r="O71" s="79">
        <f t="shared" si="80"/>
        <v>-3246.9508968123992</v>
      </c>
      <c r="P71" s="79">
        <f t="shared" si="80"/>
        <v>-3461.0417853486233</v>
      </c>
      <c r="Q71" s="79">
        <f t="shared" si="80"/>
        <v>-3659.2080451845832</v>
      </c>
    </row>
    <row r="72" spans="2:17" x14ac:dyDescent="0.35">
      <c r="B72" t="s">
        <v>123</v>
      </c>
      <c r="C72" s="77">
        <f>'Manual Data'!D11</f>
        <v>-21</v>
      </c>
      <c r="D72" s="77">
        <f>'Manual Data'!E11</f>
        <v>0</v>
      </c>
      <c r="E72" s="77">
        <f>'Manual Data'!F11</f>
        <v>0</v>
      </c>
      <c r="F72" s="77">
        <f>'Manual Data'!G11</f>
        <v>0</v>
      </c>
      <c r="G72" s="77">
        <f>'Manual Data'!H11</f>
        <v>0</v>
      </c>
      <c r="H72" s="77">
        <f>'Manual Data'!I11</f>
        <v>0</v>
      </c>
      <c r="I72" s="77">
        <f>'Manual Data'!J11</f>
        <v>0</v>
      </c>
      <c r="J72" s="77">
        <f>'Manual Data'!K11</f>
        <v>0</v>
      </c>
      <c r="K72" s="77">
        <f>'Manual Data'!L11</f>
        <v>0</v>
      </c>
      <c r="L72" s="77">
        <f>'Manual Data'!M11</f>
        <v>0</v>
      </c>
      <c r="M72" s="79">
        <f t="shared" si="81"/>
        <v>4.1981877995785908</v>
      </c>
      <c r="N72" s="79">
        <f t="shared" si="80"/>
        <v>1.6789128361314525</v>
      </c>
      <c r="O72" s="79">
        <f t="shared" si="80"/>
        <v>2.0707046548393464</v>
      </c>
      <c r="P72" s="79">
        <f t="shared" si="80"/>
        <v>2.5073521484508987</v>
      </c>
      <c r="Q72" s="79">
        <f t="shared" si="80"/>
        <v>2.9799315575093317</v>
      </c>
    </row>
    <row r="73" spans="2:17" x14ac:dyDescent="0.35">
      <c r="B73" t="s">
        <v>124</v>
      </c>
      <c r="C73" s="77">
        <f>'Manual Data'!D12</f>
        <v>-13</v>
      </c>
      <c r="D73" s="77">
        <f>'Manual Data'!E12</f>
        <v>2</v>
      </c>
      <c r="E73" s="77">
        <f>'Manual Data'!F12</f>
        <v>0</v>
      </c>
      <c r="F73" s="77">
        <f>'Manual Data'!G12</f>
        <v>-6</v>
      </c>
      <c r="G73" s="77">
        <f>'Manual Data'!H12</f>
        <v>-1</v>
      </c>
      <c r="H73" s="77">
        <f>'Manual Data'!I12</f>
        <v>3</v>
      </c>
      <c r="I73" s="77">
        <f>'Manual Data'!J12</f>
        <v>0</v>
      </c>
      <c r="J73" s="77">
        <f>'Manual Data'!K12</f>
        <v>0</v>
      </c>
      <c r="K73" s="77">
        <f>'Manual Data'!L12</f>
        <v>0</v>
      </c>
      <c r="L73" s="77">
        <f>'Manual Data'!M12</f>
        <v>0</v>
      </c>
      <c r="M73" s="79">
        <f t="shared" si="81"/>
        <v>2.6649409432158961</v>
      </c>
      <c r="N73" s="79">
        <f t="shared" si="80"/>
        <v>1.2661179712048565</v>
      </c>
      <c r="O73" s="79">
        <f t="shared" si="80"/>
        <v>2.2613899894734857</v>
      </c>
      <c r="P73" s="79">
        <f t="shared" si="80"/>
        <v>3.1697953383440876</v>
      </c>
      <c r="Q73" s="79">
        <f t="shared" si="80"/>
        <v>2.6917974614581013</v>
      </c>
    </row>
    <row r="74" spans="2:17" x14ac:dyDescent="0.35">
      <c r="B74" s="71" t="s">
        <v>147</v>
      </c>
      <c r="C74" s="78">
        <f>SUM(C63:C73)</f>
        <v>5423</v>
      </c>
      <c r="D74" s="78">
        <f t="shared" ref="D74:L74" si="82">SUM(D63:D73)</f>
        <v>6245</v>
      </c>
      <c r="E74" s="78">
        <f t="shared" si="82"/>
        <v>4888</v>
      </c>
      <c r="F74" s="78">
        <f t="shared" si="82"/>
        <v>6954</v>
      </c>
      <c r="G74" s="78">
        <f t="shared" si="82"/>
        <v>7132</v>
      </c>
      <c r="H74" s="78">
        <f t="shared" si="82"/>
        <v>6941</v>
      </c>
      <c r="I74" s="78">
        <f t="shared" si="82"/>
        <v>7802</v>
      </c>
      <c r="J74" s="78">
        <f t="shared" si="82"/>
        <v>15666</v>
      </c>
      <c r="K74" s="78">
        <f t="shared" si="82"/>
        <v>9351</v>
      </c>
      <c r="L74" s="78">
        <f t="shared" si="82"/>
        <v>9380</v>
      </c>
      <c r="M74" s="80">
        <f t="shared" si="81"/>
        <v>11764.663169219246</v>
      </c>
      <c r="N74" s="80">
        <f t="shared" si="80"/>
        <v>12596.692131881457</v>
      </c>
      <c r="O74" s="80">
        <f t="shared" si="80"/>
        <v>13559.261992487664</v>
      </c>
      <c r="P74" s="80">
        <f t="shared" si="80"/>
        <v>14122.071020174932</v>
      </c>
      <c r="Q74" s="80">
        <f t="shared" si="80"/>
        <v>14882.428246604235</v>
      </c>
    </row>
    <row r="75" spans="2:17" x14ac:dyDescent="0.35"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9"/>
      <c r="N75" s="79"/>
      <c r="O75" s="79"/>
      <c r="P75" s="79"/>
      <c r="Q75" s="79"/>
    </row>
    <row r="76" spans="2:17" x14ac:dyDescent="0.35">
      <c r="B76" s="75" t="s">
        <v>148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9"/>
      <c r="N76" s="79"/>
      <c r="O76" s="79"/>
      <c r="P76" s="79"/>
      <c r="Q76" s="79"/>
    </row>
    <row r="77" spans="2:17" x14ac:dyDescent="0.35">
      <c r="B77" s="72" t="s">
        <v>125</v>
      </c>
      <c r="C77" s="77">
        <f>'Manual Data'!D16</f>
        <v>-1113</v>
      </c>
      <c r="D77" s="77">
        <f>'Manual Data'!E16</f>
        <v>-895</v>
      </c>
      <c r="E77" s="77">
        <f>'Manual Data'!F16</f>
        <v>-767</v>
      </c>
      <c r="F77" s="77">
        <f>'Manual Data'!G16</f>
        <v>-862</v>
      </c>
      <c r="G77" s="77">
        <f>'Manual Data'!H16</f>
        <v>-4163</v>
      </c>
      <c r="H77" s="77">
        <f>'Manual Data'!I16</f>
        <v>-1228</v>
      </c>
      <c r="I77" s="77">
        <f>'Manual Data'!J16</f>
        <v>-1192</v>
      </c>
      <c r="J77" s="77">
        <f>'Manual Data'!K16</f>
        <v>-1477</v>
      </c>
      <c r="K77" s="77">
        <f>'Manual Data'!L16</f>
        <v>-1275</v>
      </c>
      <c r="L77" s="77">
        <f>'Manual Data'!M16</f>
        <v>-1361</v>
      </c>
      <c r="M77" s="79">
        <f>FORECAST($M$3,C77:L77,$C$3:$L$3)</f>
        <v>-1649.9168019675099</v>
      </c>
      <c r="N77" s="79">
        <f t="shared" ref="N77:Q86" si="83">FORECAST($M$3,D77:M77,$C$3:$L$3)</f>
        <v>-1651.2745469139145</v>
      </c>
      <c r="O77" s="79">
        <f t="shared" si="83"/>
        <v>-1558.7458683109685</v>
      </c>
      <c r="P77" s="79">
        <f t="shared" si="83"/>
        <v>-1345.245828209253</v>
      </c>
      <c r="Q77" s="79">
        <f t="shared" si="83"/>
        <v>-1018.9017359016962</v>
      </c>
    </row>
    <row r="78" spans="2:17" x14ac:dyDescent="0.35">
      <c r="B78" s="72" t="s">
        <v>126</v>
      </c>
      <c r="C78" s="77">
        <f>'Manual Data'!D17</f>
        <v>176</v>
      </c>
      <c r="D78" s="77">
        <f>'Manual Data'!E17</f>
        <v>32</v>
      </c>
      <c r="E78" s="77">
        <f>'Manual Data'!F17</f>
        <v>13</v>
      </c>
      <c r="F78" s="77">
        <f>'Manual Data'!G17</f>
        <v>52</v>
      </c>
      <c r="G78" s="77">
        <f>'Manual Data'!H17</f>
        <v>97</v>
      </c>
      <c r="H78" s="77">
        <f>'Manual Data'!I17</f>
        <v>175</v>
      </c>
      <c r="I78" s="77">
        <f>'Manual Data'!J17</f>
        <v>181</v>
      </c>
      <c r="J78" s="77">
        <f>'Manual Data'!K17</f>
        <v>20</v>
      </c>
      <c r="K78" s="77">
        <f>'Manual Data'!L17</f>
        <v>13</v>
      </c>
      <c r="L78" s="77">
        <f>'Manual Data'!M17</f>
        <v>29</v>
      </c>
      <c r="M78" s="79">
        <f t="shared" ref="M78:M85" si="84">FORECAST($M$3,C78:L78,$C$3:$L$3)</f>
        <v>46.93286866725748</v>
      </c>
      <c r="N78" s="79">
        <f t="shared" si="83"/>
        <v>60.110193264521484</v>
      </c>
      <c r="O78" s="79">
        <f t="shared" si="83"/>
        <v>48.76817000221962</v>
      </c>
      <c r="P78" s="79">
        <f t="shared" si="83"/>
        <v>25.936936528923297</v>
      </c>
      <c r="Q78" s="79">
        <f t="shared" si="83"/>
        <v>1.982709294164124</v>
      </c>
    </row>
    <row r="79" spans="2:17" x14ac:dyDescent="0.35">
      <c r="B79" s="72" t="s">
        <v>127</v>
      </c>
      <c r="C79" s="77">
        <f>'Manual Data'!D18</f>
        <v>-31214</v>
      </c>
      <c r="D79" s="77">
        <f>'Manual Data'!E18</f>
        <v>-51855</v>
      </c>
      <c r="E79" s="77">
        <f>'Manual Data'!F18</f>
        <v>-74365</v>
      </c>
      <c r="F79" s="77">
        <f>'Manual Data'!G18</f>
        <v>-36090</v>
      </c>
      <c r="G79" s="77">
        <f>'Manual Data'!H18</f>
        <v>-39920</v>
      </c>
      <c r="H79" s="77">
        <f>'Manual Data'!I18</f>
        <v>-48522</v>
      </c>
      <c r="I79" s="77">
        <f>'Manual Data'!J18</f>
        <v>-22649</v>
      </c>
      <c r="J79" s="77">
        <f>'Manual Data'!K18</f>
        <v>-21337</v>
      </c>
      <c r="K79" s="77">
        <f>'Manual Data'!L18</f>
        <v>-22957</v>
      </c>
      <c r="L79" s="77">
        <f>'Manual Data'!M18</f>
        <v>-25529</v>
      </c>
      <c r="M79" s="79">
        <f t="shared" si="84"/>
        <v>-19100.51375759294</v>
      </c>
      <c r="N79" s="79">
        <f t="shared" si="83"/>
        <v>-10107.598193928134</v>
      </c>
      <c r="O79" s="79">
        <f t="shared" si="83"/>
        <v>-3825.3927153478144</v>
      </c>
      <c r="P79" s="79">
        <f t="shared" si="83"/>
        <v>-3808.8543424826348</v>
      </c>
      <c r="Q79" s="79">
        <f t="shared" si="83"/>
        <v>1711.0537826459622</v>
      </c>
    </row>
    <row r="80" spans="2:17" x14ac:dyDescent="0.35">
      <c r="B80" s="72" t="s">
        <v>128</v>
      </c>
      <c r="C80" s="77">
        <f>'Manual Data'!D19</f>
        <v>30083</v>
      </c>
      <c r="D80" s="77">
        <f>'Manual Data'!E19</f>
        <v>52897</v>
      </c>
      <c r="E80" s="77">
        <f>'Manual Data'!F19</f>
        <v>74691</v>
      </c>
      <c r="F80" s="77">
        <f>'Manual Data'!G19</f>
        <v>37690</v>
      </c>
      <c r="G80" s="77">
        <f>'Manual Data'!H19</f>
        <v>38486</v>
      </c>
      <c r="H80" s="77">
        <f>'Manual Data'!I19</f>
        <v>47786</v>
      </c>
      <c r="I80" s="77">
        <f>'Manual Data'!J19</f>
        <v>23462</v>
      </c>
      <c r="J80" s="77">
        <f>'Manual Data'!K19</f>
        <v>19846</v>
      </c>
      <c r="K80" s="77">
        <f>'Manual Data'!L19</f>
        <v>23987</v>
      </c>
      <c r="L80" s="77">
        <f>'Manual Data'!M19</f>
        <v>25117</v>
      </c>
      <c r="M80" s="79">
        <f t="shared" si="84"/>
        <v>18915.774771692988</v>
      </c>
      <c r="N80" s="79">
        <f t="shared" si="83"/>
        <v>9573.7013447879581</v>
      </c>
      <c r="O80" s="79">
        <f t="shared" si="83"/>
        <v>3318.9204107236583</v>
      </c>
      <c r="P80" s="79">
        <f t="shared" si="83"/>
        <v>3255.0466855622944</v>
      </c>
      <c r="Q80" s="79">
        <f t="shared" si="83"/>
        <v>-1936.4552589742234</v>
      </c>
    </row>
    <row r="81" spans="2:17" x14ac:dyDescent="0.35">
      <c r="B81" s="72" t="s">
        <v>129</v>
      </c>
      <c r="C81" s="77">
        <f>'Manual Data'!D20</f>
        <v>264</v>
      </c>
      <c r="D81" s="77">
        <f>'Manual Data'!E20</f>
        <v>297</v>
      </c>
      <c r="E81" s="77">
        <f>'Manual Data'!F20</f>
        <v>289</v>
      </c>
      <c r="F81" s="77">
        <f>'Manual Data'!G20</f>
        <v>351</v>
      </c>
      <c r="G81" s="77">
        <f>'Manual Data'!H20</f>
        <v>277</v>
      </c>
      <c r="H81" s="77">
        <f>'Manual Data'!I20</f>
        <v>161</v>
      </c>
      <c r="I81" s="77">
        <f>'Manual Data'!J20</f>
        <v>259</v>
      </c>
      <c r="J81" s="77">
        <f>'Manual Data'!K20</f>
        <v>425</v>
      </c>
      <c r="K81" s="77">
        <f>'Manual Data'!L20</f>
        <v>835</v>
      </c>
      <c r="L81" s="77">
        <f>'Manual Data'!M20</f>
        <v>428</v>
      </c>
      <c r="M81" s="79">
        <f t="shared" si="84"/>
        <v>542.9211051735042</v>
      </c>
      <c r="N81" s="79">
        <f t="shared" si="83"/>
        <v>591.41005831965049</v>
      </c>
      <c r="O81" s="79">
        <f t="shared" si="83"/>
        <v>649.44619398481518</v>
      </c>
      <c r="P81" s="79">
        <f t="shared" si="83"/>
        <v>709.04529762823495</v>
      </c>
      <c r="Q81" s="79">
        <f t="shared" si="83"/>
        <v>784.95610737449897</v>
      </c>
    </row>
    <row r="82" spans="2:17" x14ac:dyDescent="0.35">
      <c r="B82" s="72" t="s">
        <v>130</v>
      </c>
      <c r="C82" s="77">
        <f>'Manual Data'!D21</f>
        <v>14</v>
      </c>
      <c r="D82" s="77">
        <f>'Manual Data'!E21</f>
        <v>0</v>
      </c>
      <c r="E82" s="77">
        <f>'Manual Data'!F21</f>
        <v>1</v>
      </c>
      <c r="F82" s="77">
        <f>'Manual Data'!G21</f>
        <v>1</v>
      </c>
      <c r="G82" s="77">
        <f>'Manual Data'!H21</f>
        <v>1</v>
      </c>
      <c r="H82" s="77">
        <f>'Manual Data'!I21</f>
        <v>1</v>
      </c>
      <c r="I82" s="77">
        <f>'Manual Data'!J21</f>
        <v>2</v>
      </c>
      <c r="J82" s="77">
        <f>'Manual Data'!K21</f>
        <v>3</v>
      </c>
      <c r="K82" s="77">
        <f>'Manual Data'!L21</f>
        <v>0</v>
      </c>
      <c r="L82" s="77">
        <f>'Manual Data'!M21</f>
        <v>5</v>
      </c>
      <c r="M82" s="79">
        <f t="shared" si="84"/>
        <v>0.53408672237335253</v>
      </c>
      <c r="N82" s="79">
        <f t="shared" si="83"/>
        <v>2.6132401206835318</v>
      </c>
      <c r="O82" s="79">
        <f t="shared" si="83"/>
        <v>2.690057164053087</v>
      </c>
      <c r="P82" s="79">
        <f t="shared" si="83"/>
        <v>2.8891426924284893</v>
      </c>
      <c r="Q82" s="79">
        <f t="shared" si="83"/>
        <v>3.0559081960134158</v>
      </c>
    </row>
    <row r="83" spans="2:17" x14ac:dyDescent="0.35">
      <c r="B83" s="72" t="s">
        <v>149</v>
      </c>
      <c r="C83" s="77">
        <f>'Manual Data'!D22</f>
        <v>20</v>
      </c>
      <c r="D83" s="77">
        <f>'Manual Data'!E22</f>
        <v>73</v>
      </c>
      <c r="E83" s="77">
        <f>'Manual Data'!F22</f>
        <v>0</v>
      </c>
      <c r="F83" s="77">
        <f>'Manual Data'!G22</f>
        <v>0</v>
      </c>
      <c r="G83" s="77">
        <f>'Manual Data'!H22</f>
        <v>0</v>
      </c>
      <c r="H83" s="77">
        <f>'Manual Data'!I22</f>
        <v>0</v>
      </c>
      <c r="I83" s="77">
        <f>'Manual Data'!J22</f>
        <v>0</v>
      </c>
      <c r="J83" s="77">
        <f>'Manual Data'!K22</f>
        <v>0</v>
      </c>
      <c r="K83" s="77">
        <f>'Manual Data'!L22</f>
        <v>0</v>
      </c>
      <c r="L83" s="77">
        <f>'Manual Data'!M22</f>
        <v>298</v>
      </c>
      <c r="M83" s="79">
        <f t="shared" si="84"/>
        <v>105.44461592954326</v>
      </c>
      <c r="N83" s="79">
        <f t="shared" si="83"/>
        <v>126.90046311186984</v>
      </c>
      <c r="O83" s="79">
        <f t="shared" si="83"/>
        <v>165.37118746626811</v>
      </c>
      <c r="P83" s="79">
        <f t="shared" si="83"/>
        <v>196.12634956647435</v>
      </c>
      <c r="Q83" s="79">
        <f t="shared" si="83"/>
        <v>228.20119251225833</v>
      </c>
    </row>
    <row r="84" spans="2:17" x14ac:dyDescent="0.35">
      <c r="B84" s="72" t="s">
        <v>132</v>
      </c>
      <c r="C84" s="77">
        <f>'Manual Data'!D23</f>
        <v>0</v>
      </c>
      <c r="D84" s="77">
        <f>'Manual Data'!E23</f>
        <v>0</v>
      </c>
      <c r="E84" s="77">
        <f>'Manual Data'!F23</f>
        <v>0</v>
      </c>
      <c r="F84" s="77">
        <f>'Manual Data'!G23</f>
        <v>0</v>
      </c>
      <c r="G84" s="77">
        <f>'Manual Data'!H23</f>
        <v>0</v>
      </c>
      <c r="H84" s="77">
        <f>'Manual Data'!I23</f>
        <v>0</v>
      </c>
      <c r="I84" s="77">
        <f>'Manual Data'!J23</f>
        <v>-334</v>
      </c>
      <c r="J84" s="77">
        <f>'Manual Data'!K23</f>
        <v>0</v>
      </c>
      <c r="K84" s="77">
        <f>'Manual Data'!L23</f>
        <v>0</v>
      </c>
      <c r="L84" s="77">
        <f>'Manual Data'!M23</f>
        <v>0</v>
      </c>
      <c r="M84" s="79">
        <f t="shared" si="84"/>
        <v>-66.770075824530636</v>
      </c>
      <c r="N84" s="79">
        <f t="shared" si="83"/>
        <v>-71.225626997058271</v>
      </c>
      <c r="O84" s="79">
        <f t="shared" si="83"/>
        <v>-73.015663860081077</v>
      </c>
      <c r="P84" s="79">
        <f t="shared" si="83"/>
        <v>-70.777440091347046</v>
      </c>
      <c r="Q84" s="79">
        <f t="shared" si="83"/>
        <v>-62.707635752485011</v>
      </c>
    </row>
    <row r="85" spans="2:17" x14ac:dyDescent="0.35">
      <c r="B85" s="73" t="s">
        <v>133</v>
      </c>
      <c r="C85" s="77">
        <f>'Manual Data'!D24</f>
        <v>597</v>
      </c>
      <c r="D85" s="77">
        <f>'Manual Data'!E24</f>
        <v>-1612</v>
      </c>
      <c r="E85" s="77">
        <f>'Manual Data'!F24</f>
        <v>-300</v>
      </c>
      <c r="F85" s="77">
        <f>'Manual Data'!G24</f>
        <v>649</v>
      </c>
      <c r="G85" s="77">
        <f>'Manual Data'!H24</f>
        <v>3994</v>
      </c>
      <c r="H85" s="77">
        <f>'Manual Data'!I24</f>
        <v>-101</v>
      </c>
      <c r="I85" s="77">
        <f>'Manual Data'!J24</f>
        <v>-1213</v>
      </c>
      <c r="J85" s="77">
        <f>'Manual Data'!K24</f>
        <v>-2804</v>
      </c>
      <c r="K85" s="77">
        <f>'Manual Data'!L24</f>
        <v>5870</v>
      </c>
      <c r="L85" s="77">
        <f>'Manual Data'!M24</f>
        <v>-2663</v>
      </c>
      <c r="M85" s="79">
        <f t="shared" si="84"/>
        <v>269.7552984021068</v>
      </c>
      <c r="N85" s="79">
        <f t="shared" si="83"/>
        <v>376.15124880291933</v>
      </c>
      <c r="O85" s="79">
        <f t="shared" si="83"/>
        <v>-44.044218285058378</v>
      </c>
      <c r="P85" s="79">
        <f t="shared" si="83"/>
        <v>-412.7267773029198</v>
      </c>
      <c r="Q85" s="79">
        <f t="shared" si="83"/>
        <v>-693.30314554522192</v>
      </c>
    </row>
    <row r="86" spans="2:17" x14ac:dyDescent="0.35">
      <c r="B86" s="74" t="s">
        <v>148</v>
      </c>
      <c r="C86" s="78">
        <f>SUM(C77:C85)</f>
        <v>-1173</v>
      </c>
      <c r="D86" s="78">
        <f t="shared" ref="D86:L86" si="85">SUM(D77:D85)</f>
        <v>-1063</v>
      </c>
      <c r="E86" s="78">
        <f t="shared" si="85"/>
        <v>-438</v>
      </c>
      <c r="F86" s="78">
        <f t="shared" si="85"/>
        <v>1791</v>
      </c>
      <c r="G86" s="78">
        <f t="shared" si="85"/>
        <v>-1228</v>
      </c>
      <c r="H86" s="78">
        <f t="shared" si="85"/>
        <v>-1728</v>
      </c>
      <c r="I86" s="78">
        <f t="shared" si="85"/>
        <v>-1484</v>
      </c>
      <c r="J86" s="78">
        <f t="shared" si="85"/>
        <v>-5324</v>
      </c>
      <c r="K86" s="78">
        <f t="shared" si="85"/>
        <v>6473</v>
      </c>
      <c r="L86" s="78">
        <f t="shared" si="85"/>
        <v>-3676</v>
      </c>
      <c r="M86" s="80">
        <f>SUM(M77:M85)</f>
        <v>-935.83788879720805</v>
      </c>
      <c r="N86" s="80">
        <f t="shared" si="83"/>
        <v>-1099.2118194315353</v>
      </c>
      <c r="O86" s="80">
        <f t="shared" si="83"/>
        <v>-1316.0024464628332</v>
      </c>
      <c r="P86" s="80">
        <f t="shared" si="83"/>
        <v>-1448.5599761077538</v>
      </c>
      <c r="Q86" s="80">
        <f t="shared" si="83"/>
        <v>-982.11807615085308</v>
      </c>
    </row>
    <row r="87" spans="2:17" x14ac:dyDescent="0.35"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9"/>
      <c r="N87" s="79"/>
      <c r="O87" s="79"/>
      <c r="P87" s="79"/>
      <c r="Q87" s="79"/>
    </row>
    <row r="88" spans="2:17" x14ac:dyDescent="0.35">
      <c r="B88" s="74" t="s">
        <v>150</v>
      </c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9"/>
      <c r="N88" s="79"/>
      <c r="O88" s="79"/>
      <c r="P88" s="79"/>
      <c r="Q88" s="79"/>
    </row>
    <row r="89" spans="2:17" x14ac:dyDescent="0.35">
      <c r="B89" s="76" t="s">
        <v>135</v>
      </c>
      <c r="C89" s="77">
        <f>'Manual Data'!D29</f>
        <v>0</v>
      </c>
      <c r="D89" s="77">
        <f>'Manual Data'!E29</f>
        <v>0</v>
      </c>
      <c r="E89" s="77">
        <f>'Manual Data'!F29</f>
        <v>0</v>
      </c>
      <c r="F89" s="77">
        <f>'Manual Data'!G29</f>
        <v>0</v>
      </c>
      <c r="G89" s="77">
        <f>'Manual Data'!H29</f>
        <v>0</v>
      </c>
      <c r="H89" s="77">
        <f>'Manual Data'!I29</f>
        <v>0</v>
      </c>
      <c r="I89" s="77">
        <f>'Manual Data'!J29</f>
        <v>0</v>
      </c>
      <c r="J89" s="77">
        <f>'Manual Data'!K29</f>
        <v>0</v>
      </c>
      <c r="K89" s="77">
        <f>'Manual Data'!L29</f>
        <v>0</v>
      </c>
      <c r="L89" s="77">
        <f>'Manual Data'!M29</f>
        <v>0</v>
      </c>
      <c r="M89" s="79">
        <f>FORECAST($M$3,C89:L89,$C$3:$L$3)</f>
        <v>0</v>
      </c>
      <c r="N89" s="79">
        <f t="shared" ref="N89:Q96" si="86">FORECAST($M$3,D89:M89,$C$3:$L$3)</f>
        <v>0</v>
      </c>
      <c r="O89" s="79">
        <f t="shared" si="86"/>
        <v>0</v>
      </c>
      <c r="P89" s="79">
        <f t="shared" si="86"/>
        <v>0</v>
      </c>
      <c r="Q89" s="79">
        <f t="shared" si="86"/>
        <v>0</v>
      </c>
    </row>
    <row r="90" spans="2:17" x14ac:dyDescent="0.35">
      <c r="B90" s="76" t="s">
        <v>136</v>
      </c>
      <c r="C90" s="77">
        <f>'Manual Data'!D30</f>
        <v>460</v>
      </c>
      <c r="D90" s="77">
        <f>'Manual Data'!E30</f>
        <v>0</v>
      </c>
      <c r="E90" s="77">
        <f>'Manual Data'!F30</f>
        <v>99</v>
      </c>
      <c r="F90" s="77">
        <f>'Manual Data'!G30</f>
        <v>0</v>
      </c>
      <c r="G90" s="77">
        <f>'Manual Data'!H30</f>
        <v>188</v>
      </c>
      <c r="H90" s="77">
        <f>'Manual Data'!I30</f>
        <v>55</v>
      </c>
      <c r="I90" s="77">
        <f>'Manual Data'!J30</f>
        <v>286</v>
      </c>
      <c r="J90" s="77">
        <f>'Manual Data'!K30</f>
        <v>0</v>
      </c>
      <c r="K90" s="77">
        <f>'Manual Data'!L30</f>
        <v>0</v>
      </c>
      <c r="L90" s="77">
        <f>'Manual Data'!M30</f>
        <v>0</v>
      </c>
      <c r="M90" s="79">
        <f t="shared" ref="M90:M95" si="87">FORECAST($M$3,C90:L90,$C$3:$L$3)</f>
        <v>-21.518572328632217</v>
      </c>
      <c r="N90" s="79">
        <f t="shared" si="86"/>
        <v>20.007002950147353</v>
      </c>
      <c r="O90" s="79">
        <f t="shared" si="86"/>
        <v>-12.42210022804943</v>
      </c>
      <c r="P90" s="79">
        <f t="shared" si="86"/>
        <v>-32.742837317993462</v>
      </c>
      <c r="Q90" s="79">
        <f t="shared" si="86"/>
        <v>-80.192401541464733</v>
      </c>
    </row>
    <row r="91" spans="2:17" x14ac:dyDescent="0.35">
      <c r="B91" s="76" t="s">
        <v>137</v>
      </c>
      <c r="C91" s="77">
        <f>'Manual Data'!D31</f>
        <v>-360</v>
      </c>
      <c r="D91" s="77">
        <f>'Manual Data'!E31</f>
        <v>-277</v>
      </c>
      <c r="E91" s="77">
        <f>'Manual Data'!F31</f>
        <v>0</v>
      </c>
      <c r="F91" s="77">
        <f>'Manual Data'!G31</f>
        <v>-99</v>
      </c>
      <c r="G91" s="77">
        <f>'Manual Data'!H31</f>
        <v>-188</v>
      </c>
      <c r="H91" s="77">
        <f>'Manual Data'!I31</f>
        <v>-55</v>
      </c>
      <c r="I91" s="77">
        <f>'Manual Data'!J31</f>
        <v>-208</v>
      </c>
      <c r="J91" s="77">
        <f>'Manual Data'!K31</f>
        <v>-85</v>
      </c>
      <c r="K91" s="77">
        <f>'Manual Data'!L31</f>
        <v>0</v>
      </c>
      <c r="L91" s="77">
        <f>'Manual Data'!M31</f>
        <v>-46</v>
      </c>
      <c r="M91" s="79">
        <f t="shared" si="87"/>
        <v>6.3685192935727173</v>
      </c>
      <c r="N91" s="79">
        <f t="shared" si="86"/>
        <v>0.78946731397900294</v>
      </c>
      <c r="O91" s="79">
        <f t="shared" si="86"/>
        <v>-9.3014659106650015</v>
      </c>
      <c r="P91" s="79">
        <f t="shared" si="86"/>
        <v>31.879734413545066</v>
      </c>
      <c r="Q91" s="79">
        <f t="shared" si="86"/>
        <v>63.782223388927378</v>
      </c>
    </row>
    <row r="92" spans="2:17" x14ac:dyDescent="0.35">
      <c r="B92" s="76" t="s">
        <v>138</v>
      </c>
      <c r="C92" s="77">
        <f>'Manual Data'!D32</f>
        <v>-14</v>
      </c>
      <c r="D92" s="77">
        <f>'Manual Data'!E32</f>
        <v>-6</v>
      </c>
      <c r="E92" s="77">
        <f>'Manual Data'!F32</f>
        <v>-7</v>
      </c>
      <c r="F92" s="77">
        <f>'Manual Data'!G32</f>
        <v>-90</v>
      </c>
      <c r="G92" s="77">
        <f>'Manual Data'!H32</f>
        <v>-92</v>
      </c>
      <c r="H92" s="77">
        <f>'Manual Data'!I32</f>
        <v>-82</v>
      </c>
      <c r="I92" s="77">
        <f>'Manual Data'!J32</f>
        <v>-88</v>
      </c>
      <c r="J92" s="77">
        <f>'Manual Data'!K32</f>
        <v>-110</v>
      </c>
      <c r="K92" s="77">
        <f>'Manual Data'!L32</f>
        <v>-130</v>
      </c>
      <c r="L92" s="77">
        <f>'Manual Data'!M32</f>
        <v>-133</v>
      </c>
      <c r="M92" s="79">
        <f t="shared" si="87"/>
        <v>-156.45699687322804</v>
      </c>
      <c r="N92" s="79">
        <f t="shared" si="86"/>
        <v>-172.63266896290997</v>
      </c>
      <c r="O92" s="79">
        <f t="shared" si="86"/>
        <v>-183.65240987366428</v>
      </c>
      <c r="P92" s="79">
        <f t="shared" si="86"/>
        <v>-188.24800242052856</v>
      </c>
      <c r="Q92" s="79">
        <f t="shared" si="86"/>
        <v>-205.0309972120358</v>
      </c>
    </row>
    <row r="93" spans="2:17" x14ac:dyDescent="0.35">
      <c r="B93" s="76" t="s">
        <v>139</v>
      </c>
      <c r="C93" s="77">
        <f>'Manual Data'!D33</f>
        <v>-3572</v>
      </c>
      <c r="D93" s="77">
        <f>'Manual Data'!E33</f>
        <v>-3911</v>
      </c>
      <c r="E93" s="77">
        <f>'Manual Data'!F33</f>
        <v>-4554</v>
      </c>
      <c r="F93" s="77">
        <f>'Manual Data'!G33</f>
        <v>-5196</v>
      </c>
      <c r="G93" s="77">
        <f>'Manual Data'!H33</f>
        <v>-8811</v>
      </c>
      <c r="H93" s="77">
        <f>'Manual Data'!I33</f>
        <v>-7526</v>
      </c>
      <c r="I93" s="77">
        <f>'Manual Data'!J33</f>
        <v>-8474</v>
      </c>
      <c r="J93" s="77">
        <f>'Manual Data'!K33</f>
        <v>-9416</v>
      </c>
      <c r="K93" s="77">
        <f>'Manual Data'!L33</f>
        <v>-12473</v>
      </c>
      <c r="L93" s="77">
        <f>'Manual Data'!M33</f>
        <v>-10124</v>
      </c>
      <c r="M93" s="79">
        <f t="shared" si="87"/>
        <v>-12463.513057309348</v>
      </c>
      <c r="N93" s="79">
        <f t="shared" si="86"/>
        <v>-13464.478015199798</v>
      </c>
      <c r="O93" s="79">
        <f t="shared" si="86"/>
        <v>-14362.639080283567</v>
      </c>
      <c r="P93" s="79">
        <f t="shared" si="86"/>
        <v>-15155.695071439739</v>
      </c>
      <c r="Q93" s="79">
        <f t="shared" si="86"/>
        <v>-15783.087940683792</v>
      </c>
    </row>
    <row r="94" spans="2:17" x14ac:dyDescent="0.35">
      <c r="B94" s="76" t="s">
        <v>140</v>
      </c>
      <c r="C94" s="77">
        <f>'Manual Data'!D34</f>
        <v>0</v>
      </c>
      <c r="D94" s="77">
        <f>'Manual Data'!E34</f>
        <v>0</v>
      </c>
      <c r="E94" s="77">
        <f>'Manual Data'!F34</f>
        <v>0</v>
      </c>
      <c r="F94" s="77">
        <f>'Manual Data'!G34</f>
        <v>-373</v>
      </c>
      <c r="G94" s="77">
        <f>'Manual Data'!H34</f>
        <v>-406</v>
      </c>
      <c r="H94" s="77">
        <f>'Manual Data'!I34</f>
        <v>-407</v>
      </c>
      <c r="I94" s="77">
        <f>'Manual Data'!J34</f>
        <v>-467</v>
      </c>
      <c r="J94" s="77">
        <f>'Manual Data'!K34</f>
        <v>-423</v>
      </c>
      <c r="K94" s="77">
        <f>'Manual Data'!L34</f>
        <v>-498</v>
      </c>
      <c r="L94" s="77">
        <f>'Manual Data'!M34</f>
        <v>-507</v>
      </c>
      <c r="M94" s="79">
        <f t="shared" si="87"/>
        <v>-656.28192769869293</v>
      </c>
      <c r="N94" s="79">
        <f t="shared" si="86"/>
        <v>-713.37683160981942</v>
      </c>
      <c r="O94" s="79">
        <f t="shared" si="86"/>
        <v>-749.57213219162531</v>
      </c>
      <c r="P94" s="79">
        <f t="shared" si="86"/>
        <v>-752.72475844363362</v>
      </c>
      <c r="Q94" s="79">
        <f t="shared" si="86"/>
        <v>-806.58546766976269</v>
      </c>
    </row>
    <row r="95" spans="2:17" x14ac:dyDescent="0.35">
      <c r="B95" s="76" t="s">
        <v>141</v>
      </c>
      <c r="C95" s="77">
        <f>'Manual Data'!D35</f>
        <v>-728</v>
      </c>
      <c r="D95" s="77">
        <f>'Manual Data'!E35</f>
        <v>-781</v>
      </c>
      <c r="E95" s="77">
        <f>'Manual Data'!F35</f>
        <v>-928</v>
      </c>
      <c r="F95" s="77">
        <f>'Manual Data'!G35</f>
        <v>-1061</v>
      </c>
      <c r="G95" s="77">
        <f>'Manual Data'!H35</f>
        <v>0</v>
      </c>
      <c r="H95" s="77">
        <f>'Manual Data'!I35</f>
        <v>0</v>
      </c>
      <c r="I95" s="77">
        <f>'Manual Data'!J35</f>
        <v>-2</v>
      </c>
      <c r="J95" s="77">
        <f>'Manual Data'!K35</f>
        <v>0</v>
      </c>
      <c r="K95" s="77">
        <f>'Manual Data'!L35</f>
        <v>0</v>
      </c>
      <c r="L95" s="77">
        <f>'Manual Data'!M35</f>
        <v>0</v>
      </c>
      <c r="M95" s="79">
        <f t="shared" si="87"/>
        <v>311.05232420032735</v>
      </c>
      <c r="N95" s="79">
        <f t="shared" si="86"/>
        <v>474.73728232740905</v>
      </c>
      <c r="O95" s="79">
        <f t="shared" si="86"/>
        <v>620.35479458340706</v>
      </c>
      <c r="P95" s="79">
        <f t="shared" si="86"/>
        <v>701.38739616737439</v>
      </c>
      <c r="Q95" s="79">
        <f t="shared" si="86"/>
        <v>676.19123140744523</v>
      </c>
    </row>
    <row r="96" spans="2:17" x14ac:dyDescent="0.35">
      <c r="B96" s="71" t="s">
        <v>150</v>
      </c>
      <c r="C96" s="78">
        <f>SUM(C89:C95)</f>
        <v>-4214</v>
      </c>
      <c r="D96" s="78">
        <f t="shared" ref="D96:L96" si="88">SUM(D89:D95)</f>
        <v>-4975</v>
      </c>
      <c r="E96" s="78">
        <f t="shared" si="88"/>
        <v>-5390</v>
      </c>
      <c r="F96" s="78">
        <f t="shared" si="88"/>
        <v>-6819</v>
      </c>
      <c r="G96" s="78">
        <f t="shared" si="88"/>
        <v>-9309</v>
      </c>
      <c r="H96" s="78">
        <f t="shared" si="88"/>
        <v>-8015</v>
      </c>
      <c r="I96" s="78">
        <f t="shared" si="88"/>
        <v>-8953</v>
      </c>
      <c r="J96" s="78">
        <f t="shared" si="88"/>
        <v>-10034</v>
      </c>
      <c r="K96" s="78">
        <f t="shared" si="88"/>
        <v>-13101</v>
      </c>
      <c r="L96" s="78">
        <f t="shared" si="88"/>
        <v>-10810</v>
      </c>
      <c r="M96" s="80">
        <f>SUM(M89:M95)</f>
        <v>-12980.349710716002</v>
      </c>
      <c r="N96" s="80">
        <f t="shared" si="86"/>
        <v>-13854.953763181009</v>
      </c>
      <c r="O96" s="80">
        <f t="shared" si="86"/>
        <v>-14697.232393904167</v>
      </c>
      <c r="P96" s="80">
        <f t="shared" si="86"/>
        <v>-15396.143539040975</v>
      </c>
      <c r="Q96" s="80">
        <f t="shared" si="86"/>
        <v>-16134.923352310681</v>
      </c>
    </row>
    <row r="98" spans="2:17" x14ac:dyDescent="0.35">
      <c r="B98" s="81" t="s">
        <v>151</v>
      </c>
      <c r="C98" s="82">
        <f>C74+C86+C96</f>
        <v>36</v>
      </c>
      <c r="D98" s="82">
        <f t="shared" ref="D98:Q98" si="89">D74+D86+D96</f>
        <v>207</v>
      </c>
      <c r="E98" s="82">
        <f t="shared" si="89"/>
        <v>-940</v>
      </c>
      <c r="F98" s="82">
        <f t="shared" si="89"/>
        <v>1926</v>
      </c>
      <c r="G98" s="82">
        <f t="shared" si="89"/>
        <v>-3405</v>
      </c>
      <c r="H98" s="82">
        <f t="shared" si="89"/>
        <v>-2802</v>
      </c>
      <c r="I98" s="82">
        <f t="shared" si="89"/>
        <v>-2635</v>
      </c>
      <c r="J98" s="82">
        <f t="shared" si="89"/>
        <v>308</v>
      </c>
      <c r="K98" s="82">
        <f t="shared" si="89"/>
        <v>2723</v>
      </c>
      <c r="L98" s="82">
        <f t="shared" si="89"/>
        <v>-5106</v>
      </c>
      <c r="M98" s="82">
        <f t="shared" si="89"/>
        <v>-2151.5244302939645</v>
      </c>
      <c r="N98" s="82">
        <f t="shared" si="89"/>
        <v>-2357.4734507310877</v>
      </c>
      <c r="O98" s="82">
        <f t="shared" si="89"/>
        <v>-2453.9728478793368</v>
      </c>
      <c r="P98" s="82">
        <f t="shared" si="89"/>
        <v>-2722.6324949737973</v>
      </c>
      <c r="Q98" s="82">
        <f t="shared" si="89"/>
        <v>-2234.6131818572994</v>
      </c>
    </row>
    <row r="105" spans="2:17" x14ac:dyDescent="0.35">
      <c r="B105" s="32" t="s">
        <v>270</v>
      </c>
      <c r="C105" s="178">
        <f>(L6/C6)^(1/9)-1</f>
        <v>7.6658974207876929E-2</v>
      </c>
    </row>
  </sheetData>
  <mergeCells count="1">
    <mergeCell ref="B2:Q2"/>
  </mergeCells>
  <pageMargins left="0.7" right="0.7" top="0.75" bottom="0.75" header="0.3" footer="0.3"/>
  <pageSetup orientation="portrait" r:id="rId1"/>
  <ignoredErrors>
    <ignoredError sqref="C9:L9 C14:L1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0"/>
  <sheetViews>
    <sheetView showGridLines="0" tabSelected="1" zoomScale="63" workbookViewId="0">
      <pane ySplit="3" topLeftCell="A6" activePane="bottomLeft" state="frozen"/>
      <selection pane="bottomLeft" activeCell="U15" sqref="U15"/>
    </sheetView>
  </sheetViews>
  <sheetFormatPr defaultRowHeight="14.5" x14ac:dyDescent="0.35"/>
  <cols>
    <col min="1" max="1" width="1.81640625" customWidth="1"/>
    <col min="2" max="2" width="21.26953125" bestFit="1" customWidth="1"/>
    <col min="3" max="5" width="12.453125" bestFit="1" customWidth="1"/>
    <col min="6" max="7" width="11.36328125" bestFit="1" customWidth="1"/>
    <col min="8" max="8" width="12.453125" bestFit="1" customWidth="1"/>
    <col min="9" max="9" width="12.90625" bestFit="1" customWidth="1"/>
    <col min="10" max="17" width="11.36328125" bestFit="1" customWidth="1"/>
  </cols>
  <sheetData>
    <row r="2" spans="2:17" x14ac:dyDescent="0.35">
      <c r="B2" s="175" t="str">
        <f>"Ratio Analysis for "&amp;'Data Sheet'!B1</f>
        <v>Ratio Analysis for HINDUSTAN UNILEVER LTD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</row>
    <row r="3" spans="2:17" x14ac:dyDescent="0.35">
      <c r="B3" s="48" t="s">
        <v>93</v>
      </c>
      <c r="C3" s="49">
        <f>'Historical FS'!C3</f>
        <v>42825</v>
      </c>
      <c r="D3" s="49">
        <f>'Historical FS'!D3</f>
        <v>43190</v>
      </c>
      <c r="E3" s="49">
        <f>'Historical FS'!E3</f>
        <v>43555</v>
      </c>
      <c r="F3" s="49">
        <f>'Historical FS'!F3</f>
        <v>43921</v>
      </c>
      <c r="G3" s="49">
        <f>'Historical FS'!G3</f>
        <v>44286</v>
      </c>
      <c r="H3" s="49">
        <f>'Historical FS'!H3</f>
        <v>44651</v>
      </c>
      <c r="I3" s="49">
        <f>'Historical FS'!I3</f>
        <v>45016</v>
      </c>
      <c r="J3" s="49">
        <f>'Historical FS'!J3</f>
        <v>45382</v>
      </c>
      <c r="K3" s="49">
        <f>'Historical FS'!K3</f>
        <v>45747</v>
      </c>
      <c r="L3" s="49">
        <f>'Historical FS'!L3</f>
        <v>46112</v>
      </c>
      <c r="M3" s="50">
        <f>'Historical FS'!M3</f>
        <v>46477</v>
      </c>
      <c r="N3" s="50">
        <f>'Historical FS'!N3</f>
        <v>46842</v>
      </c>
      <c r="O3" s="50">
        <f>'Historical FS'!O3</f>
        <v>47207</v>
      </c>
      <c r="P3" s="50">
        <f>'Historical FS'!P3</f>
        <v>47572</v>
      </c>
      <c r="Q3" s="50">
        <f>'Historical FS'!Q3</f>
        <v>47937</v>
      </c>
    </row>
    <row r="4" spans="2:17" x14ac:dyDescent="0.35">
      <c r="B4" s="32" t="s">
        <v>153</v>
      </c>
    </row>
    <row r="5" spans="2:17" x14ac:dyDescent="0.35">
      <c r="B5" t="s">
        <v>152</v>
      </c>
      <c r="C5" s="85">
        <f>'Historical FS'!C11/'Historical FS'!C6</f>
        <v>0.44554007599059164</v>
      </c>
      <c r="D5" s="85">
        <f>'Historical FS'!D11/'Historical FS'!D6</f>
        <v>0.45258123505415671</v>
      </c>
      <c r="E5" s="85">
        <f>'Historical FS'!E11/'Historical FS'!E6</f>
        <v>0.4643347748664462</v>
      </c>
      <c r="F5" s="85">
        <f>'Historical FS'!F11/'Historical FS'!F6</f>
        <v>0.47640952165497824</v>
      </c>
      <c r="G5" s="85">
        <f>'Historical FS'!G11/'Historical FS'!G6</f>
        <v>0.44477757931445094</v>
      </c>
      <c r="H5" s="85">
        <f>'Historical FS'!H11/'Historical FS'!H6</f>
        <v>0.44495290393928993</v>
      </c>
      <c r="I5" s="85">
        <f>'Historical FS'!I11/'Historical FS'!I6</f>
        <v>0.41348629910861673</v>
      </c>
      <c r="J5" s="85">
        <f>'Historical FS'!J11/'Historical FS'!J6</f>
        <v>0.45597453793459997</v>
      </c>
      <c r="K5" s="85">
        <f>'Historical FS'!K11/'Historical FS'!K6</f>
        <v>0.44937059744325591</v>
      </c>
      <c r="L5" s="85">
        <f>'Historical FS'!L11/'Historical FS'!L6</f>
        <v>0.43395172798907983</v>
      </c>
      <c r="M5" s="95">
        <f>'Historical FS'!M11/'Historical FS'!M6</f>
        <v>0.43813771424799103</v>
      </c>
      <c r="N5" s="95">
        <f>'Historical FS'!N11/'Historical FS'!N6</f>
        <v>0.43544839660202267</v>
      </c>
      <c r="O5" s="95">
        <f>'Historical FS'!O11/'Historical FS'!O6</f>
        <v>0.43312128259320115</v>
      </c>
      <c r="P5" s="95">
        <f>'Historical FS'!P11/'Historical FS'!P6</f>
        <v>0.43230713661543768</v>
      </c>
      <c r="Q5" s="95">
        <f>'Historical FS'!Q11/'Historical FS'!Q6</f>
        <v>0.43371966227347519</v>
      </c>
    </row>
    <row r="6" spans="2:17" x14ac:dyDescent="0.35">
      <c r="B6" t="s">
        <v>102</v>
      </c>
      <c r="C6" s="85">
        <f>'Historical FS'!C16/'Historical FS'!C6</f>
        <v>0.19950545805439962</v>
      </c>
      <c r="D6" s="85">
        <f>'Historical FS'!D16/'Historical FS'!D6</f>
        <v>0.20692080461386975</v>
      </c>
      <c r="E6" s="85">
        <f>'Historical FS'!E16/'Historical FS'!E6</f>
        <v>0.22650725006359704</v>
      </c>
      <c r="F6" s="85">
        <f>'Historical FS'!F16/'Historical FS'!F6</f>
        <v>0.24244023829273811</v>
      </c>
      <c r="G6" s="85">
        <f>'Historical FS'!G16/'Historical FS'!G6</f>
        <v>0.22999064387173598</v>
      </c>
      <c r="H6" s="85">
        <f>'Historical FS'!H16/'Historical FS'!H6</f>
        <v>0.24430843152957327</v>
      </c>
      <c r="I6" s="85">
        <f>'Historical FS'!I16/'Historical FS'!I6</f>
        <v>0.23104985143611753</v>
      </c>
      <c r="J6" s="85">
        <f>'Historical FS'!J16/'Historical FS'!J6</f>
        <v>0.23647731678945327</v>
      </c>
      <c r="K6" s="85">
        <f>'Historical FS'!K16/'Historical FS'!K6</f>
        <v>0.23558570310461779</v>
      </c>
      <c r="L6" s="85">
        <f>'Historical FS'!L16/'Historical FS'!L6</f>
        <v>0.21996959731960042</v>
      </c>
      <c r="M6" s="95">
        <f>'Historical FS'!M16/'Historical FS'!M6</f>
        <v>0.23557809191962081</v>
      </c>
      <c r="N6" s="95">
        <f>'Historical FS'!N16/'Historical FS'!N6</f>
        <v>0.23428484104858124</v>
      </c>
      <c r="O6" s="95">
        <f>'Historical FS'!O16/'Historical FS'!O6</f>
        <v>0.23222389012896166</v>
      </c>
      <c r="P6" s="95">
        <f>'Historical FS'!P16/'Historical FS'!P6</f>
        <v>0.23093341777332899</v>
      </c>
      <c r="Q6" s="95">
        <f>'Historical FS'!Q16/'Historical FS'!Q6</f>
        <v>0.23101336503051939</v>
      </c>
    </row>
    <row r="7" spans="2:17" x14ac:dyDescent="0.35">
      <c r="B7" t="s">
        <v>105</v>
      </c>
      <c r="C7" s="85">
        <f>'Historical FS'!C21/'Historical FS'!C6</f>
        <v>0.18647849948736506</v>
      </c>
      <c r="D7" s="85">
        <f>'Historical FS'!D21/'Historical FS'!D6</f>
        <v>0.19229146152764101</v>
      </c>
      <c r="E7" s="85">
        <f>'Historical FS'!E21/'Historical FS'!E6</f>
        <v>0.21213431696769269</v>
      </c>
      <c r="F7" s="85">
        <f>'Historical FS'!F21/'Historical FS'!F6</f>
        <v>0.21725360078425457</v>
      </c>
      <c r="G7" s="85">
        <f>'Historical FS'!G21/'Historical FS'!G6</f>
        <v>0.20715318533639535</v>
      </c>
      <c r="H7" s="85">
        <f>'Historical FS'!H21/'Historical FS'!H6</f>
        <v>0.22350608244670708</v>
      </c>
      <c r="I7" s="85">
        <f>'Historical FS'!I21/'Historical FS'!I6</f>
        <v>0.21228128095080884</v>
      </c>
      <c r="J7" s="85">
        <f>'Historical FS'!J21/'Historical FS'!J6</f>
        <v>0.21683145922192065</v>
      </c>
      <c r="K7" s="85">
        <f>'Historical FS'!K21/'Historical FS'!K6</f>
        <v>0.21515457865901383</v>
      </c>
      <c r="L7" s="85">
        <f>'Historical FS'!L21/'Historical FS'!L6</f>
        <v>0.19929267233356085</v>
      </c>
      <c r="M7" s="95">
        <f>'Historical FS'!M21/'Historical FS'!M6</f>
        <v>0.21407823176873519</v>
      </c>
      <c r="N7" s="95">
        <f>'Historical FS'!N21/'Historical FS'!N6</f>
        <v>0.2128675709049796</v>
      </c>
      <c r="O7" s="95">
        <f>'Historical FS'!O21/'Historical FS'!O6</f>
        <v>0.21102477265756556</v>
      </c>
      <c r="P7" s="95">
        <f>'Historical FS'!P21/'Historical FS'!P6</f>
        <v>0.21032218066870464</v>
      </c>
      <c r="Q7" s="95">
        <f>'Historical FS'!Q21/'Historical FS'!Q6</f>
        <v>0.21006209561495154</v>
      </c>
    </row>
    <row r="8" spans="2:17" x14ac:dyDescent="0.35">
      <c r="B8" t="s">
        <v>108</v>
      </c>
      <c r="C8" s="85">
        <f>'Historical FS'!C31/'Historical FS'!C6</f>
        <v>0.12580664616126891</v>
      </c>
      <c r="D8" s="85">
        <f>'Historical FS'!D31/'Historical FS'!D6</f>
        <v>0.13307075538050359</v>
      </c>
      <c r="E8" s="85">
        <f>'Historical FS'!E31/'Historical FS'!E6</f>
        <v>0.1465784787585856</v>
      </c>
      <c r="F8" s="85">
        <f>'Historical FS'!F31/'Historical FS'!F6</f>
        <v>0.1537340069879094</v>
      </c>
      <c r="G8" s="85">
        <f>'Historical FS'!G31/'Historical FS'!G6</f>
        <v>0.14925150973887896</v>
      </c>
      <c r="H8" s="85">
        <f>'Historical FS'!H31/'Historical FS'!H6</f>
        <v>0.1645311367883156</v>
      </c>
      <c r="I8" s="85">
        <f>'Historical FS'!I31/'Historical FS'!I6</f>
        <v>0.15756025090789039</v>
      </c>
      <c r="J8" s="85">
        <f>'Historical FS'!J31/'Historical FS'!J6</f>
        <v>0.15256236267287063</v>
      </c>
      <c r="K8" s="85">
        <f>'Historical FS'!K31/'Historical FS'!K6</f>
        <v>0.14782807200626141</v>
      </c>
      <c r="L8" s="85">
        <f>'Historical FS'!L31/'Historical FS'!L6</f>
        <v>0.14391636160575791</v>
      </c>
      <c r="M8" s="95">
        <f>'Historical FS'!M31/'Historical FS'!M6</f>
        <v>0.15396507205775201</v>
      </c>
      <c r="N8" s="95">
        <f>'Historical FS'!N31/'Historical FS'!N6</f>
        <v>0.15290245595315224</v>
      </c>
      <c r="O8" s="95">
        <f>'Historical FS'!O31/'Historical FS'!O6</f>
        <v>0.15140242105245413</v>
      </c>
      <c r="P8" s="95">
        <f>'Historical FS'!P31/'Historical FS'!P6</f>
        <v>0.15037077066766125</v>
      </c>
      <c r="Q8" s="95">
        <f>'Historical FS'!Q31/'Historical FS'!Q6</f>
        <v>0.14973926506266971</v>
      </c>
    </row>
    <row r="9" spans="2:17" x14ac:dyDescent="0.35">
      <c r="B9" t="s">
        <v>154</v>
      </c>
      <c r="C9" s="85">
        <f>'Historical FS'!C31/'Historical FS'!C57</f>
        <v>0.26563096905641154</v>
      </c>
      <c r="D9" s="85">
        <f>'Historical FS'!D31/'Historical FS'!D57</f>
        <v>0.264807972231553</v>
      </c>
      <c r="E9" s="85">
        <f>'Historical FS'!E31/'Historical FS'!E57</f>
        <v>0.30930270009125554</v>
      </c>
      <c r="F9" s="85">
        <f>'Historical FS'!F31/'Historical FS'!F57</f>
        <v>0.30347839031409718</v>
      </c>
      <c r="G9" s="85">
        <f>'Historical FS'!G31/'Historical FS'!G57</f>
        <v>0.10210939773057899</v>
      </c>
      <c r="H9" s="85">
        <f>'Historical FS'!H31/'Historical FS'!H57</f>
        <v>0.12238674722718634</v>
      </c>
      <c r="I9" s="85">
        <f>'Historical FS'!I31/'Historical FS'!I57</f>
        <v>0.13061565198352423</v>
      </c>
      <c r="J9" s="85">
        <f>'Historical FS'!J31/'Historical FS'!J57</f>
        <v>0.12030985233599613</v>
      </c>
      <c r="K9" s="85">
        <f>'Historical FS'!K31/'Historical FS'!K57</f>
        <v>0.1135194019758837</v>
      </c>
      <c r="L9" s="85">
        <f>'Historical FS'!L31/'Historical FS'!L57</f>
        <v>0.11635606611653164</v>
      </c>
      <c r="M9" s="95">
        <f>'Historical FS'!M31/'Historical FS'!M57</f>
        <v>0.10791675604386654</v>
      </c>
      <c r="N9" s="95">
        <f>'Historical FS'!N31/'Historical FS'!N57</f>
        <v>0.10345293180749937</v>
      </c>
      <c r="O9" s="95">
        <f>'Historical FS'!O31/'Historical FS'!O57</f>
        <v>0.10008677091954038</v>
      </c>
      <c r="P9" s="95">
        <f>'Historical FS'!P31/'Historical FS'!P57</f>
        <v>9.9305998022964484E-2</v>
      </c>
      <c r="Q9" s="95">
        <f>'Historical FS'!Q31/'Historical FS'!Q57</f>
        <v>0.10069104767608934</v>
      </c>
    </row>
    <row r="10" spans="2:17" x14ac:dyDescent="0.35">
      <c r="B10" t="s">
        <v>59</v>
      </c>
      <c r="C10" s="85">
        <f>'Historical FS'!C31/SUM('Historical FS'!C38:C39)</f>
        <v>0.6186239620403321</v>
      </c>
      <c r="D10" s="85">
        <f>'Historical FS'!D31/SUM('Historical FS'!D38:D39)</f>
        <v>0.64963603900563105</v>
      </c>
      <c r="E10" s="85">
        <f>'Historical FS'!E31/SUM('Historical FS'!E38:E39)</f>
        <v>0.73242659209355532</v>
      </c>
      <c r="F10" s="85">
        <f>'Historical FS'!F31/SUM('Historical FS'!F38:F39)</f>
        <v>0.74322517924413656</v>
      </c>
      <c r="G10" s="85">
        <f>'Historical FS'!G31/SUM('Historical FS'!G38:G39)</f>
        <v>0.14722909762134498</v>
      </c>
      <c r="H10" s="85">
        <f>'Historical FS'!H31/SUM('Historical FS'!H38:H39)</f>
        <v>0.17588308432359714</v>
      </c>
      <c r="I10" s="85">
        <f>'Historical FS'!I31/SUM('Historical FS'!I38:I39)</f>
        <v>0.18974634223918574</v>
      </c>
      <c r="J10" s="85">
        <f>'Historical FS'!J31/SUM('Historical FS'!J38:J39)</f>
        <v>0.18436877660197587</v>
      </c>
      <c r="K10" s="85">
        <f>'Historical FS'!K31/SUM('Historical FS'!K38:K39)</f>
        <v>0.18351483745597344</v>
      </c>
      <c r="L10" s="85">
        <f>'Historical FS'!L31/SUM('Historical FS'!L38:L39)</f>
        <v>0.190360901947106</v>
      </c>
      <c r="M10" s="95">
        <f>'Historical FS'!M31/SUM('Historical FS'!M38:M39)</f>
        <v>0.16421851977637092</v>
      </c>
      <c r="N10" s="95">
        <f>'Historical FS'!N31/SUM('Historical FS'!N38:N39)</f>
        <v>0.15703663719688735</v>
      </c>
      <c r="O10" s="95">
        <f>'Historical FS'!O31/SUM('Historical FS'!O38:O39)</f>
        <v>0.15237957699915275</v>
      </c>
      <c r="P10" s="95">
        <f>'Historical FS'!P31/SUM('Historical FS'!P38:P39)</f>
        <v>0.15228379439662892</v>
      </c>
      <c r="Q10" s="95">
        <f>'Historical FS'!Q31/SUM('Historical FS'!Q38:Q39)</f>
        <v>0.15681484381942853</v>
      </c>
    </row>
    <row r="11" spans="2:17" x14ac:dyDescent="0.35">
      <c r="M11" s="96"/>
      <c r="N11" s="96"/>
      <c r="O11" s="96"/>
      <c r="P11" s="96"/>
      <c r="Q11" s="96"/>
    </row>
    <row r="12" spans="2:17" x14ac:dyDescent="0.35">
      <c r="B12" s="32" t="s">
        <v>155</v>
      </c>
      <c r="M12" s="96"/>
      <c r="N12" s="96"/>
      <c r="O12" s="96"/>
      <c r="P12" s="96"/>
      <c r="Q12" s="96"/>
    </row>
    <row r="13" spans="2:17" x14ac:dyDescent="0.35">
      <c r="B13" t="s">
        <v>156</v>
      </c>
      <c r="C13" s="87">
        <f>'Historical FS'!C40/SUM('Historical FS'!C38:C39)</f>
        <v>4.1073546856465006E-2</v>
      </c>
      <c r="D13" s="87">
        <f>'Historical FS'!D40/SUM('Historical FS'!D38:D39)</f>
        <v>0</v>
      </c>
      <c r="E13" s="87">
        <f>'Historical FS'!E40/SUM('Historical FS'!E38:E39)</f>
        <v>1.258421253336723E-2</v>
      </c>
      <c r="F13" s="87">
        <f>'Historical FS'!F40/SUM('Historical FS'!F38:F39)</f>
        <v>0</v>
      </c>
      <c r="G13" s="87">
        <f>'Historical FS'!G40/SUM('Historical FS'!G38:G39)</f>
        <v>0</v>
      </c>
      <c r="H13" s="87">
        <f>'Historical FS'!H40/SUM('Historical FS'!H38:H39)</f>
        <v>2.1259248690405821E-2</v>
      </c>
      <c r="I13" s="87">
        <f>'Historical FS'!I40/SUM('Historical FS'!I38:I39)</f>
        <v>2.4232665394402036E-2</v>
      </c>
      <c r="J13" s="87">
        <f>'Historical FS'!J40/SUM('Historical FS'!J38:J39)</f>
        <v>2.8974188761763442E-2</v>
      </c>
      <c r="K13" s="87">
        <f>'Historical FS'!K40/SUM('Historical FS'!K38:K39)</f>
        <v>3.3358973320918181E-2</v>
      </c>
      <c r="L13" s="87">
        <f>'Historical FS'!L40/SUM('Historical FS'!L38:L39)</f>
        <v>3.032479123494532E-2</v>
      </c>
      <c r="M13" s="97">
        <f>'Historical FS'!M40/SUM('Historical FS'!M38:M39)</f>
        <v>2.7902026226813301E-2</v>
      </c>
      <c r="N13" s="97">
        <f>'Historical FS'!N40/SUM('Historical FS'!N38:N39)</f>
        <v>2.992058852208233E-2</v>
      </c>
      <c r="O13" s="97">
        <f>'Historical FS'!O40/SUM('Historical FS'!O38:O39)</f>
        <v>3.1497882036914907E-2</v>
      </c>
      <c r="P13" s="97">
        <f>'Historical FS'!P40/SUM('Historical FS'!P38:P39)</f>
        <v>3.3634239353696062E-2</v>
      </c>
      <c r="Q13" s="97">
        <f>'Historical FS'!Q40/SUM('Historical FS'!Q38:Q39)</f>
        <v>3.6136800137107288E-2</v>
      </c>
    </row>
    <row r="14" spans="2:17" x14ac:dyDescent="0.35">
      <c r="B14" t="s">
        <v>157</v>
      </c>
      <c r="C14" s="87">
        <f>'Historical FS'!C40/'Historical FS'!C57</f>
        <v>1.7636572010696547E-2</v>
      </c>
      <c r="D14" s="87">
        <f>'Historical FS'!D40/'Historical FS'!D57</f>
        <v>0</v>
      </c>
      <c r="E14" s="87">
        <f>'Historical FS'!E40/'Historical FS'!E57</f>
        <v>5.3142949165279939E-3</v>
      </c>
      <c r="F14" s="87">
        <f>'Historical FS'!F40/'Historical FS'!F57</f>
        <v>0</v>
      </c>
      <c r="G14" s="87">
        <f>'Historical FS'!G40/'Historical FS'!G57</f>
        <v>0</v>
      </c>
      <c r="H14" s="87">
        <f>'Historical FS'!H40/'Historical FS'!H57</f>
        <v>1.4793067256687375E-2</v>
      </c>
      <c r="I14" s="87">
        <f>'Historical FS'!I40/'Historical FS'!I57</f>
        <v>1.668103507259466E-2</v>
      </c>
      <c r="J14" s="87">
        <f>'Historical FS'!J40/'Historical FS'!J57</f>
        <v>1.8907108002395239E-2</v>
      </c>
      <c r="K14" s="87">
        <f>'Historical FS'!K40/'Historical FS'!K57</f>
        <v>2.0635338016353005E-2</v>
      </c>
      <c r="L14" s="87">
        <f>'Historical FS'!L40/'Historical FS'!L57</f>
        <v>1.8535704432014848E-2</v>
      </c>
      <c r="M14" s="97">
        <f>'Historical FS'!M40/'Historical FS'!M57</f>
        <v>1.8335910965151921E-2</v>
      </c>
      <c r="N14" s="97">
        <f>'Historical FS'!N40/'Historical FS'!N57</f>
        <v>1.9711149316922492E-2</v>
      </c>
      <c r="O14" s="97">
        <f>'Historical FS'!O40/'Historical FS'!O57</f>
        <v>2.0688607790904531E-2</v>
      </c>
      <c r="P14" s="97">
        <f>'Historical FS'!P40/'Historical FS'!P57</f>
        <v>2.1933270838147657E-2</v>
      </c>
      <c r="Q14" s="97">
        <f>'Historical FS'!Q40/'Historical FS'!Q57</f>
        <v>2.3203493858379064E-2</v>
      </c>
    </row>
    <row r="15" spans="2:17" x14ac:dyDescent="0.35">
      <c r="B15" t="s">
        <v>158</v>
      </c>
      <c r="C15" s="87">
        <f>'Historical FS'!C21/'Historical FS'!C24</f>
        <v>176.68571428571428</v>
      </c>
      <c r="D15" s="87">
        <f>'Historical FS'!D21/'Historical FS'!D24</f>
        <v>262.88461538461536</v>
      </c>
      <c r="E15" s="87">
        <f>'Historical FS'!E21/'Historical FS'!E24</f>
        <v>252.69696969696969</v>
      </c>
      <c r="F15" s="87">
        <f>'Historical FS'!F21/'Historical FS'!F24</f>
        <v>73.245762711864401</v>
      </c>
      <c r="G15" s="87">
        <f>'Historical FS'!G21/'Historical FS'!G24</f>
        <v>83.26495726495726</v>
      </c>
      <c r="H15" s="87">
        <f>'Historical FS'!H21/'Historical FS'!H24</f>
        <v>110.58490566037736</v>
      </c>
      <c r="I15" s="87">
        <f>'Historical FS'!I21/'Historical FS'!I24</f>
        <v>112.80701754385964</v>
      </c>
      <c r="J15" s="87">
        <f>'Historical FS'!J21/'Historical FS'!J24</f>
        <v>40.182634730538922</v>
      </c>
      <c r="K15" s="87">
        <f>'Historical FS'!K21/'Historical FS'!K24</f>
        <v>34.632545931758528</v>
      </c>
      <c r="L15" s="87">
        <f>'Historical FS'!L21/'Historical FS'!L24</f>
        <v>31.336585365853658</v>
      </c>
      <c r="M15" s="97">
        <f>'Historical FS'!M21/'Historical FS'!M24</f>
        <v>36.873831709058855</v>
      </c>
      <c r="N15" s="97">
        <f>'Historical FS'!N21/'Historical FS'!N24</f>
        <v>33.71695197998158</v>
      </c>
      <c r="O15" s="97">
        <f>'Historical FS'!O21/'Historical FS'!O24</f>
        <v>31.248102520025341</v>
      </c>
      <c r="P15" s="97">
        <f>'Historical FS'!P21/'Historical FS'!P24</f>
        <v>29.597522439465582</v>
      </c>
      <c r="Q15" s="97">
        <f>'Historical FS'!Q21/'Historical FS'!Q24</f>
        <v>27.480309332745808</v>
      </c>
    </row>
    <row r="16" spans="2:17" x14ac:dyDescent="0.35">
      <c r="M16" s="96"/>
      <c r="N16" s="96"/>
      <c r="O16" s="96"/>
      <c r="P16" s="96"/>
      <c r="Q16" s="96"/>
    </row>
    <row r="17" spans="2:17" x14ac:dyDescent="0.35">
      <c r="B17" s="32" t="s">
        <v>159</v>
      </c>
      <c r="M17" s="96"/>
      <c r="N17" s="96"/>
      <c r="O17" s="96"/>
      <c r="P17" s="96"/>
      <c r="Q17" s="96"/>
    </row>
    <row r="18" spans="2:17" x14ac:dyDescent="0.35">
      <c r="B18" t="s">
        <v>160</v>
      </c>
      <c r="C18" s="85">
        <f>'Historical FS'!C6/'Historical FS'!C57</f>
        <v>2.1114223863491661</v>
      </c>
      <c r="D18" s="85">
        <f>'Historical FS'!D6/'Historical FS'!D57</f>
        <v>1.989978725786586</v>
      </c>
      <c r="E18" s="85">
        <f>'Historical FS'!E6/'Historical FS'!E57</f>
        <v>2.1101508400880347</v>
      </c>
      <c r="F18" s="85">
        <f>'Historical FS'!F6/'Historical FS'!F57</f>
        <v>1.974048528755024</v>
      </c>
      <c r="G18" s="85">
        <f>'Historical FS'!G6/'Historical FS'!G57</f>
        <v>0.68414314809426824</v>
      </c>
      <c r="H18" s="85">
        <f>'Historical FS'!H6/'Historical FS'!H57</f>
        <v>0.74385158709897026</v>
      </c>
      <c r="I18" s="85">
        <f>'Historical FS'!I6/'Historical FS'!I57</f>
        <v>0.82898860106463046</v>
      </c>
      <c r="J18" s="85">
        <f>'Historical FS'!J6/'Historical FS'!J57</f>
        <v>0.78859458013224781</v>
      </c>
      <c r="K18" s="85">
        <f>'Historical FS'!K6/'Historical FS'!K57</f>
        <v>0.76791505453088416</v>
      </c>
      <c r="L18" s="85">
        <f>'Historical FS'!L6/'Historical FS'!L57</f>
        <v>0.80849783039454215</v>
      </c>
      <c r="M18" s="95">
        <f>'Historical FS'!M6/'Historical FS'!M57</f>
        <v>0.70091712751179802</v>
      </c>
      <c r="N18" s="95">
        <f>'Historical FS'!N6/'Historical FS'!N57</f>
        <v>0.67659431081470855</v>
      </c>
      <c r="O18" s="95">
        <f>'Historical FS'!O6/'Historical FS'!O57</f>
        <v>0.66106453400018494</v>
      </c>
      <c r="P18" s="95">
        <f>'Historical FS'!P6/'Historical FS'!P57</f>
        <v>0.66040758840322433</v>
      </c>
      <c r="Q18" s="95">
        <f>'Historical FS'!Q6/'Historical FS'!Q57</f>
        <v>0.67244251288362844</v>
      </c>
    </row>
    <row r="19" spans="2:17" x14ac:dyDescent="0.35">
      <c r="B19" t="s">
        <v>47</v>
      </c>
      <c r="C19" s="85">
        <f>'Historical FS'!C9/'Historical FS'!C53</f>
        <v>7.2361275088547812</v>
      </c>
      <c r="D19" s="85">
        <f>'Historical FS'!D9/'Historical FS'!D53</f>
        <v>7.742936729009152</v>
      </c>
      <c r="E19" s="85">
        <f>'Historical FS'!E9/'Historical FS'!E53</f>
        <v>8.1806526806526811</v>
      </c>
      <c r="F19" s="85">
        <f>'Historical FS'!F9/'Historical FS'!F53</f>
        <v>7.528008673653777</v>
      </c>
      <c r="G19" s="85">
        <f>'Historical FS'!G9/'Historical FS'!G53</f>
        <v>7.2956132998044145</v>
      </c>
      <c r="H19" s="85">
        <f>'Historical FS'!H9/'Historical FS'!H53</f>
        <v>7.10693359375</v>
      </c>
      <c r="I19" s="85">
        <f>'Historical FS'!I9/'Historical FS'!I53</f>
        <v>8.3582686426723125</v>
      </c>
      <c r="J19" s="85">
        <f>'Historical FS'!J9/'Historical FS'!J53</f>
        <v>8.3722028841372449</v>
      </c>
      <c r="K19" s="85">
        <f>'Historical FS'!K9/'Historical FS'!K53</f>
        <v>7.6486976217440548</v>
      </c>
      <c r="L19" s="85">
        <f>'Historical FS'!L9/'Historical FS'!L53</f>
        <v>7.6199624138651076</v>
      </c>
      <c r="M19" s="95">
        <f>'Historical FS'!M9/'Historical FS'!M53</f>
        <v>7.85159265377205</v>
      </c>
      <c r="N19" s="95">
        <f>'Historical FS'!N9/'Historical FS'!N53</f>
        <v>7.8321916033150707</v>
      </c>
      <c r="O19" s="95">
        <f>'Historical FS'!O9/'Historical FS'!O53</f>
        <v>7.8495452219688042</v>
      </c>
      <c r="P19" s="95">
        <f>'Historical FS'!P9/'Historical FS'!P53</f>
        <v>7.9198376905717032</v>
      </c>
      <c r="Q19" s="95">
        <f>'Historical FS'!Q9/'Historical FS'!Q53</f>
        <v>7.9467407069026841</v>
      </c>
    </row>
    <row r="20" spans="2:17" x14ac:dyDescent="0.35">
      <c r="B20" t="s">
        <v>177</v>
      </c>
      <c r="C20" s="85">
        <f>'Historical FS'!C6/'Historical FS'!C52</f>
        <v>30.56405529953917</v>
      </c>
      <c r="D20" s="85">
        <f>'Historical FS'!D6/'Historical FS'!D52</f>
        <v>27.133587786259543</v>
      </c>
      <c r="E20" s="85">
        <f>'Historical FS'!E6/'Historical FS'!E52</f>
        <v>21.646475770925111</v>
      </c>
      <c r="F20" s="85">
        <f>'Historical FS'!F6/'Historical FS'!F52</f>
        <v>34.624020887728463</v>
      </c>
      <c r="G20" s="85">
        <f>'Historical FS'!G6/'Historical FS'!G52</f>
        <v>26.750853242320819</v>
      </c>
      <c r="H20" s="85">
        <f>'Historical FS'!H6/'Historical FS'!H52</f>
        <v>23.455277280858677</v>
      </c>
      <c r="I20" s="85">
        <f>'Historical FS'!I6/'Historical FS'!I52</f>
        <v>19.67521922702176</v>
      </c>
      <c r="J20" s="85">
        <f>'Historical FS'!J6/'Historical FS'!J52</f>
        <v>20.652652652652652</v>
      </c>
      <c r="K20" s="85">
        <f>'Historical FS'!K6/'Historical FS'!K52</f>
        <v>16.058654097931395</v>
      </c>
      <c r="L20" s="85">
        <f>'Historical FS'!L6/'Historical FS'!L52</f>
        <v>19.079017460787217</v>
      </c>
      <c r="M20" s="95">
        <f>'Historical FS'!M6/'Historical FS'!M52</f>
        <v>18.007669522948465</v>
      </c>
      <c r="N20" s="95">
        <f>'Historical FS'!N6/'Historical FS'!N52</f>
        <v>17.486687581915739</v>
      </c>
      <c r="O20" s="95">
        <f>'Historical FS'!O6/'Historical FS'!O52</f>
        <v>16.956276939150836</v>
      </c>
      <c r="P20" s="95">
        <f>'Historical FS'!P6/'Historical FS'!P52</f>
        <v>16.226070864153861</v>
      </c>
      <c r="Q20" s="95">
        <f>'Historical FS'!Q6/'Historical FS'!Q52</f>
        <v>15.978844877853039</v>
      </c>
    </row>
    <row r="21" spans="2:17" x14ac:dyDescent="0.35">
      <c r="B21" t="s">
        <v>161</v>
      </c>
      <c r="C21" s="85">
        <f>'Historical FS'!C9/'Historical FS'!C42</f>
        <v>2.9723569350145489</v>
      </c>
      <c r="D21" s="85">
        <f>'Historical FS'!D9/'Historical FS'!D42</f>
        <v>2.7138075313807533</v>
      </c>
      <c r="E21" s="85">
        <f>'Historical FS'!E9/'Historical FS'!E42</f>
        <v>2.9221482098251457</v>
      </c>
      <c r="F21" s="85">
        <f>'Historical FS'!F9/'Historical FS'!F42</f>
        <v>2.7644326476443264</v>
      </c>
      <c r="G21" s="85">
        <f>'Historical FS'!G9/'Historical FS'!G42</f>
        <v>2.9664848897977731</v>
      </c>
      <c r="H21" s="85">
        <f>'Historical FS'!H9/'Historical FS'!H42</f>
        <v>3.2101896779885313</v>
      </c>
      <c r="I21" s="85">
        <f>'Historical FS'!I9/'Historical FS'!I42</f>
        <v>3.7111969918529351</v>
      </c>
      <c r="J21" s="85">
        <f>'Historical FS'!J9/'Historical FS'!J42</f>
        <v>3.2112340263208088</v>
      </c>
      <c r="K21" s="85">
        <f>'Historical FS'!K9/'Historical FS'!K42</f>
        <v>2.9844454264250992</v>
      </c>
      <c r="L21" s="85">
        <f>'Historical FS'!L9/'Historical FS'!L42</f>
        <v>2.7386116322701688</v>
      </c>
      <c r="M21" s="95">
        <f>'Historical FS'!M9/'Historical FS'!M42</f>
        <v>3.0834810476727315</v>
      </c>
      <c r="N21" s="95">
        <f>'Historical FS'!N9/'Historical FS'!N42</f>
        <v>3.0951590435674436</v>
      </c>
      <c r="O21" s="95">
        <f>'Historical FS'!O9/'Historical FS'!O42</f>
        <v>3.0708591292618648</v>
      </c>
      <c r="P21" s="95">
        <f>'Historical FS'!P9/'Historical FS'!P42</f>
        <v>3.0538872540087896</v>
      </c>
      <c r="Q21" s="95">
        <f>'Historical FS'!Q9/'Historical FS'!Q42</f>
        <v>3.0072130776608206</v>
      </c>
    </row>
    <row r="22" spans="2:17" x14ac:dyDescent="0.35">
      <c r="B22" t="s">
        <v>162</v>
      </c>
      <c r="C22" s="85">
        <f>'Historical FS'!C6/'Historical FS'!C46</f>
        <v>7.5044127630685677</v>
      </c>
      <c r="D22" s="85">
        <f>'Historical FS'!D6/'Historical FS'!D46</f>
        <v>7.8500441696113077</v>
      </c>
      <c r="E22" s="85">
        <f>'Historical FS'!E6/'Historical FS'!E46</f>
        <v>8.3372216330858961</v>
      </c>
      <c r="F22" s="85">
        <f>'Historical FS'!F6/'Historical FS'!F46</f>
        <v>7.2609965322139081</v>
      </c>
      <c r="G22" s="85">
        <f>'Historical FS'!G6/'Historical FS'!G46</f>
        <v>0.91417685593763975</v>
      </c>
      <c r="H22" s="85">
        <f>'Historical FS'!H6/'Historical FS'!H46</f>
        <v>1.018903114254075</v>
      </c>
      <c r="I22" s="85">
        <f>'Historical FS'!I6/'Historical FS'!I46</f>
        <v>1.1500056949770303</v>
      </c>
      <c r="J22" s="85">
        <f>'Historical FS'!J6/'Historical FS'!J46</f>
        <v>1.1516820482286394</v>
      </c>
      <c r="K22" s="85">
        <f>'Historical FS'!K6/'Historical FS'!K46</f>
        <v>1.1287015735713628</v>
      </c>
      <c r="L22" s="85">
        <f>'Historical FS'!L6/'Historical FS'!L46</f>
        <v>1.1225882844605419</v>
      </c>
      <c r="M22" s="95">
        <f>'Historical FS'!M6/'Historical FS'!M46</f>
        <v>0.9536488616693517</v>
      </c>
      <c r="N22" s="95">
        <f>'Historical FS'!N6/'Historical FS'!N46</f>
        <v>0.90905808769335594</v>
      </c>
      <c r="O22" s="95">
        <f>'Historical FS'!O6/'Historical FS'!O46</f>
        <v>0.88327792721986353</v>
      </c>
      <c r="P22" s="95">
        <f>'Historical FS'!P6/'Historical FS'!P46</f>
        <v>0.88256384217536465</v>
      </c>
      <c r="Q22" s="95">
        <f>'Historical FS'!Q6/'Historical FS'!Q46</f>
        <v>0.90563139102865509</v>
      </c>
    </row>
    <row r="23" spans="2:17" x14ac:dyDescent="0.35">
      <c r="M23" s="96"/>
      <c r="N23" s="96"/>
      <c r="O23" s="96"/>
      <c r="P23" s="96"/>
      <c r="Q23" s="96"/>
    </row>
    <row r="24" spans="2:17" x14ac:dyDescent="0.35">
      <c r="B24" s="32" t="s">
        <v>163</v>
      </c>
      <c r="M24" s="96"/>
      <c r="N24" s="96"/>
      <c r="O24" s="96"/>
      <c r="P24" s="96"/>
      <c r="Q24" s="96"/>
    </row>
    <row r="25" spans="2:17" x14ac:dyDescent="0.35">
      <c r="B25" t="s">
        <v>164</v>
      </c>
      <c r="C25" s="94"/>
      <c r="D25" s="94"/>
      <c r="E25" s="94"/>
      <c r="F25" s="94"/>
      <c r="G25" s="94"/>
      <c r="H25" s="94"/>
      <c r="I25" s="85">
        <f>'Historical FS'!I55/'Manual Data'!J37</f>
        <v>0.99833721316927171</v>
      </c>
      <c r="J25" s="85">
        <f>'Historical FS'!J55/'Manual Data'!K37</f>
        <v>1.1319201801382095</v>
      </c>
      <c r="K25" s="85">
        <f>'Historical FS'!K55/'Manual Data'!L37</f>
        <v>0.95470762532502873</v>
      </c>
      <c r="L25" s="85">
        <f>'Historical FS'!L55/'Manual Data'!M37</f>
        <v>0.7341951250884301</v>
      </c>
      <c r="M25" s="95">
        <f>FORECAST($M$3,I25:L25,$I$3:$L$3)</f>
        <v>0.71265255438006747</v>
      </c>
      <c r="N25" s="95">
        <f t="shared" ref="N25:Q27" si="0">FORECAST($M$3,J25:M25,$I$3:$L$3)</f>
        <v>0.51395586802906834</v>
      </c>
      <c r="O25" s="95">
        <f>FORECAST($M$3,K25:N25,$I$3:$L$3)</f>
        <v>0.39307922664324479</v>
      </c>
      <c r="P25" s="95">
        <f t="shared" si="0"/>
        <v>0.28317841330028237</v>
      </c>
      <c r="Q25" s="95">
        <f t="shared" si="0"/>
        <v>0.12354986385394895</v>
      </c>
    </row>
    <row r="26" spans="2:17" x14ac:dyDescent="0.35">
      <c r="B26" t="s">
        <v>165</v>
      </c>
      <c r="C26" s="94"/>
      <c r="D26" s="94"/>
      <c r="E26" s="94"/>
      <c r="F26" s="94"/>
      <c r="G26" s="94"/>
      <c r="H26" s="94"/>
      <c r="I26" s="85">
        <f>('Historical FS'!I55-'Historical FS'!I53)/'Manual Data'!J37</f>
        <v>0.64491187229797142</v>
      </c>
      <c r="J26" s="85">
        <f>('Historical FS'!J55-'Historical FS'!J53)/'Manual Data'!K37</f>
        <v>0.8196288531718301</v>
      </c>
      <c r="K26" s="85">
        <f>('Historical FS'!K55-'Historical FS'!K53)/'Manual Data'!L37</f>
        <v>0.68773054362943697</v>
      </c>
      <c r="L26" s="85">
        <f>('Historical FS'!L55-'Historical FS'!L53)/'Manual Data'!M37</f>
        <v>0.42620104186764424</v>
      </c>
      <c r="M26" s="95">
        <f t="shared" ref="M26:M27" si="1">FORECAST($M$3,I26:L26,$I$3:$L$3)</f>
        <v>0.44787962743490262</v>
      </c>
      <c r="N26" s="95">
        <f>FORECAST($M$3,J26:M26,$I$3:$L$3)</f>
        <v>0.25133003630543982</v>
      </c>
      <c r="O26" s="95">
        <f>FORECAST($M$3,K26:N26,$I$3:$L$3)</f>
        <v>0.13152443013953174</v>
      </c>
      <c r="P26" s="95">
        <f t="shared" ref="P26:Q27" si="2">FORECAST($M$3,L26:O26,$I$3:$L$3)</f>
        <v>4.4305514860532469E-2</v>
      </c>
      <c r="Q26" s="95">
        <f t="shared" si="2"/>
        <v>-0.11373023098660795</v>
      </c>
    </row>
    <row r="27" spans="2:17" x14ac:dyDescent="0.35">
      <c r="B27" t="s">
        <v>166</v>
      </c>
      <c r="C27" s="94"/>
      <c r="D27" s="94"/>
      <c r="E27" s="94"/>
      <c r="F27" s="94"/>
      <c r="G27" s="94"/>
      <c r="H27" s="94"/>
      <c r="I27" s="85">
        <f>'Historical FS'!I54/'Manual Data'!J37</f>
        <v>0.38892583970734951</v>
      </c>
      <c r="J27" s="85">
        <f>'Historical FS'!J54/'Manual Data'!K37</f>
        <v>0.58692445065610688</v>
      </c>
      <c r="K27" s="85">
        <f>'Historical FS'!K54/'Manual Data'!L37</f>
        <v>0.45679385620124568</v>
      </c>
      <c r="L27" s="85">
        <f>'Historical FS'!L54/'Manual Data'!M37</f>
        <v>0.20888803138465495</v>
      </c>
      <c r="M27" s="95">
        <f t="shared" si="1"/>
        <v>0.24308073984640899</v>
      </c>
      <c r="N27" s="95">
        <f t="shared" si="0"/>
        <v>5.420894839851087E-2</v>
      </c>
      <c r="O27" s="95">
        <f>FORECAST($M$3,K27:N27,$I$3:$L$3)</f>
        <v>-5.2541590351680156E-2</v>
      </c>
      <c r="P27" s="95">
        <f t="shared" si="2"/>
        <v>-0.12967874562396098</v>
      </c>
      <c r="Q27" s="95">
        <f t="shared" si="2"/>
        <v>-0.27736390313858195</v>
      </c>
    </row>
    <row r="28" spans="2:17" x14ac:dyDescent="0.35">
      <c r="M28" s="96"/>
      <c r="N28" s="96"/>
      <c r="O28" s="96"/>
      <c r="P28" s="96"/>
      <c r="Q28" s="96"/>
    </row>
    <row r="29" spans="2:17" x14ac:dyDescent="0.35">
      <c r="B29" s="32" t="s">
        <v>167</v>
      </c>
      <c r="M29" s="96"/>
      <c r="N29" s="96"/>
      <c r="O29" s="96"/>
      <c r="P29" s="96"/>
      <c r="Q29" s="96"/>
    </row>
    <row r="30" spans="2:17" x14ac:dyDescent="0.35">
      <c r="B30" t="s">
        <v>168</v>
      </c>
      <c r="C30" s="87">
        <f>'Historical FS'!C31/'Data Sheet'!B93</f>
        <v>19.276440419535184</v>
      </c>
      <c r="D30" s="87">
        <f>'Historical FS'!D31/'Data Sheet'!C93</f>
        <v>21.852621852621855</v>
      </c>
      <c r="E30" s="87">
        <f>'Historical FS'!E31/'Data Sheet'!D93</f>
        <v>26.618007114149766</v>
      </c>
      <c r="F30" s="87">
        <f>'Historical FS'!F31/'Data Sheet'!E93</f>
        <v>28.252032520325205</v>
      </c>
      <c r="G30" s="87">
        <f>'Historical FS'!G31/'Data Sheet'!F93</f>
        <v>29.873169901259789</v>
      </c>
      <c r="H30" s="87">
        <f>'Historical FS'!H31/'Data Sheet'!G93</f>
        <v>36.725400068096697</v>
      </c>
      <c r="I30" s="87">
        <f>'Historical FS'!I31/'Data Sheet'!H93</f>
        <v>40.623935989104524</v>
      </c>
      <c r="J30" s="87">
        <f>'Historical FS'!J31/'Data Sheet'!I93</f>
        <v>40.18981954375213</v>
      </c>
      <c r="K30" s="87">
        <f>'Historical FS'!K31/'Data Sheet'!J93</f>
        <v>38.585291113380997</v>
      </c>
      <c r="L30" s="87">
        <f>'Historical FS'!L31/'Data Sheet'!K93</f>
        <v>39.487572352740891</v>
      </c>
      <c r="M30" s="97">
        <f>FORECAST($M$3,C30:L30,$C$3:$L$3)</f>
        <v>45.840573265360661</v>
      </c>
      <c r="N30" s="97">
        <f t="shared" ref="N30:Q30" si="3">FORECAST($M$3,D30:M30,$C$3:$L$3)</f>
        <v>47.88484228093489</v>
      </c>
      <c r="O30" s="97">
        <f t="shared" si="3"/>
        <v>49.663889448449083</v>
      </c>
      <c r="P30" s="97">
        <f t="shared" si="3"/>
        <v>51.689133935034107</v>
      </c>
      <c r="Q30" s="97">
        <f t="shared" si="3"/>
        <v>53.422916548572061</v>
      </c>
    </row>
    <row r="31" spans="2:17" x14ac:dyDescent="0.35">
      <c r="B31" t="s">
        <v>169</v>
      </c>
      <c r="C31" s="87">
        <f>'Data Sheet'!B90/'Ratio Analysis'!C30</f>
        <v>45.268212440076702</v>
      </c>
      <c r="D31" s="87">
        <f>'Data Sheet'!C90/'Ratio Analysis'!D30</f>
        <v>58.396196511627899</v>
      </c>
      <c r="E31" s="87">
        <f>'Data Sheet'!D90/'Ratio Analysis'!E30</f>
        <v>61.369357705657762</v>
      </c>
      <c r="F31" s="87">
        <f>'Data Sheet'!E90/'Ratio Analysis'!F30</f>
        <v>77.86448633093525</v>
      </c>
      <c r="G31" s="87">
        <f>'Data Sheet'!F90/'Ratio Analysis'!G30</f>
        <v>77.900002165550646</v>
      </c>
      <c r="H31" s="87">
        <f>'Data Sheet'!G90/'Ratio Analysis'!H30</f>
        <v>53.38811820604937</v>
      </c>
      <c r="I31" s="87">
        <f>'Data Sheet'!H90/'Ratio Analysis'!I30</f>
        <v>60.320102922996341</v>
      </c>
      <c r="J31" s="87">
        <f>'Data Sheet'!I90/'Ratio Analysis'!J30</f>
        <v>53.922610865191139</v>
      </c>
      <c r="K31" s="87">
        <f>'Data Sheet'!J90/'Ratio Analysis'!K30</f>
        <v>56.028604103242891</v>
      </c>
      <c r="L31" s="87">
        <f>'Data Sheet'!K90/'Ratio Analysis'!L30</f>
        <v>52.046754904074149</v>
      </c>
      <c r="M31" s="97">
        <f>FORECAST($M$3,C31:L31,$C$3:$L$3)</f>
        <v>57.320478396313796</v>
      </c>
      <c r="N31" s="97">
        <f t="shared" ref="N31:Q31" si="4">FORECAST($M$3,D31:M31,$C$3:$L$3)</f>
        <v>52.553252670773531</v>
      </c>
      <c r="O31" s="97">
        <f t="shared" si="4"/>
        <v>48.575271472324744</v>
      </c>
      <c r="P31" s="97">
        <f>FORECAST($M$3,F31:O31,$C$3:$L$3)</f>
        <v>44.193230176053476</v>
      </c>
      <c r="Q31" s="97">
        <f t="shared" si="4"/>
        <v>43.304990340107906</v>
      </c>
    </row>
    <row r="32" spans="2:17" x14ac:dyDescent="0.35">
      <c r="B32" t="s">
        <v>170</v>
      </c>
      <c r="C32" s="87">
        <f>SUM('Historical FS'!C38:C39)/'Data Sheet'!B93</f>
        <v>31.16019036177979</v>
      </c>
      <c r="D32" s="87">
        <f>SUM('Historical FS'!D38:D39)/'Data Sheet'!C93</f>
        <v>33.638253638253637</v>
      </c>
      <c r="E32" s="87">
        <f>SUM('Historical FS'!E38:E39)/'Data Sheet'!D93</f>
        <v>36.34221832124544</v>
      </c>
      <c r="F32" s="87">
        <f>SUM('Historical FS'!F38:F39)/'Data Sheet'!E93</f>
        <v>38.012749445676278</v>
      </c>
      <c r="G32" s="87">
        <f>SUM('Historical FS'!G38:G39)/'Data Sheet'!F93</f>
        <v>202.90262172284645</v>
      </c>
      <c r="H32" s="87">
        <f>SUM('Historical FS'!H38:H39)/'Data Sheet'!G93</f>
        <v>208.80575417092271</v>
      </c>
      <c r="I32" s="87">
        <f>SUM('Historical FS'!I38:I39)/'Data Sheet'!H93</f>
        <v>214.09601634320734</v>
      </c>
      <c r="J32" s="87">
        <f>SUM('Historical FS'!J38:J39)/'Data Sheet'!I93</f>
        <v>217.98604017705139</v>
      </c>
      <c r="K32" s="87">
        <f>SUM('Historical FS'!K38:K39)/'Data Sheet'!J93</f>
        <v>210.25706503234593</v>
      </c>
      <c r="L32" s="87">
        <f>SUM('Historical FS'!L38:L39)/'Data Sheet'!K93</f>
        <v>207.43530813755532</v>
      </c>
      <c r="M32" s="97">
        <f>FORECAST($M$3,C32:L32,$C$3:$L$3)</f>
        <v>282.20644890044423</v>
      </c>
      <c r="N32" s="97">
        <f t="shared" ref="N32:Q32" si="5">FORECAST($M$3,D32:M32,$C$3:$L$3)</f>
        <v>310.03070408801341</v>
      </c>
      <c r="O32" s="97">
        <f t="shared" si="5"/>
        <v>332.89261327645227</v>
      </c>
      <c r="P32" s="97">
        <f t="shared" si="5"/>
        <v>347.20775861830271</v>
      </c>
      <c r="Q32" s="97">
        <f t="shared" si="5"/>
        <v>347.92603410688162</v>
      </c>
    </row>
    <row r="33" spans="2:17" x14ac:dyDescent="0.35">
      <c r="M33" s="96"/>
      <c r="N33" s="96"/>
      <c r="O33" s="96"/>
      <c r="P33" s="96"/>
      <c r="Q33" s="96"/>
    </row>
    <row r="34" spans="2:17" x14ac:dyDescent="0.35">
      <c r="B34" s="32" t="s">
        <v>171</v>
      </c>
      <c r="M34" s="96"/>
      <c r="N34" s="96"/>
      <c r="O34" s="96"/>
      <c r="P34" s="96"/>
      <c r="Q34" s="96"/>
    </row>
    <row r="35" spans="2:17" x14ac:dyDescent="0.35">
      <c r="B35" s="84" t="s">
        <v>172</v>
      </c>
      <c r="M35" s="96"/>
      <c r="N35" s="96"/>
      <c r="O35" s="96"/>
      <c r="P35" s="96"/>
      <c r="Q35" s="96"/>
    </row>
    <row r="36" spans="2:17" x14ac:dyDescent="0.35">
      <c r="B36" t="s">
        <v>173</v>
      </c>
      <c r="C36" s="87">
        <f>365/C19</f>
        <v>50.441344428128573</v>
      </c>
      <c r="D36" s="87">
        <f t="shared" ref="D36:L36" si="6">365/D19</f>
        <v>47.139736869154078</v>
      </c>
      <c r="E36" s="87">
        <f t="shared" si="6"/>
        <v>44.617466875623307</v>
      </c>
      <c r="F36" s="87">
        <f t="shared" si="6"/>
        <v>48.485597695631299</v>
      </c>
      <c r="G36" s="87">
        <f t="shared" si="6"/>
        <v>50.030063957718973</v>
      </c>
      <c r="H36" s="87">
        <f t="shared" si="6"/>
        <v>51.358296118172447</v>
      </c>
      <c r="I36" s="87">
        <f t="shared" si="6"/>
        <v>43.669331006726523</v>
      </c>
      <c r="J36" s="87">
        <f t="shared" si="6"/>
        <v>43.596650135123099</v>
      </c>
      <c r="K36" s="87">
        <f t="shared" si="6"/>
        <v>47.720542509402115</v>
      </c>
      <c r="L36" s="87">
        <f t="shared" si="6"/>
        <v>47.900498739449745</v>
      </c>
      <c r="M36" s="97">
        <f>FORECAST($M$3,C36:L36,$C$3:$L$3)</f>
        <v>46.262293874683934</v>
      </c>
      <c r="N36" s="97">
        <f t="shared" ref="N36:Q36" si="7">FORECAST($M$3,D36:M36,$C$3:$L$3)</f>
        <v>46.554475378541795</v>
      </c>
      <c r="O36" s="97">
        <f t="shared" si="7"/>
        <v>46.360877073207575</v>
      </c>
      <c r="P36" s="97">
        <f t="shared" si="7"/>
        <v>45.456326387370851</v>
      </c>
      <c r="Q36" s="97">
        <f t="shared" si="7"/>
        <v>45.106549048956261</v>
      </c>
    </row>
    <row r="37" spans="2:17" x14ac:dyDescent="0.35">
      <c r="B37" t="s">
        <v>174</v>
      </c>
      <c r="C37" s="87">
        <f>365/C20</f>
        <v>11.942132561365419</v>
      </c>
      <c r="D37" s="87">
        <f t="shared" ref="D37:L37" si="8">365/D20</f>
        <v>13.4519623013082</v>
      </c>
      <c r="E37" s="87">
        <f t="shared" si="8"/>
        <v>16.861867209361485</v>
      </c>
      <c r="F37" s="87">
        <f t="shared" si="8"/>
        <v>10.541814342809742</v>
      </c>
      <c r="G37" s="87">
        <f t="shared" si="8"/>
        <v>13.644424598111764</v>
      </c>
      <c r="H37" s="87">
        <f t="shared" si="8"/>
        <v>15.561529954619989</v>
      </c>
      <c r="I37" s="87">
        <f t="shared" si="8"/>
        <v>18.551254539451964</v>
      </c>
      <c r="J37" s="87">
        <f t="shared" si="8"/>
        <v>17.673274525009695</v>
      </c>
      <c r="K37" s="87">
        <f t="shared" si="8"/>
        <v>22.729177537177147</v>
      </c>
      <c r="L37" s="87">
        <f t="shared" si="8"/>
        <v>19.13096419929267</v>
      </c>
      <c r="M37" s="97">
        <f>FORECAST($M$3,C37:L37,$C$3:$L$3)</f>
        <v>21.32864054598349</v>
      </c>
      <c r="N37" s="97">
        <f t="shared" ref="N37:Q37" si="9">FORECAST($M$3,D37:M37,$C$3:$L$3)</f>
        <v>22.372934008487661</v>
      </c>
      <c r="O37" s="97">
        <f t="shared" si="9"/>
        <v>23.610560173211923</v>
      </c>
      <c r="P37" s="97">
        <f t="shared" si="9"/>
        <v>25.658048218775946</v>
      </c>
      <c r="Q37" s="97">
        <f t="shared" si="9"/>
        <v>26.389473849416717</v>
      </c>
    </row>
    <row r="38" spans="2:17" x14ac:dyDescent="0.35">
      <c r="B38" t="s">
        <v>175</v>
      </c>
      <c r="C38" s="87">
        <f>365/C21</f>
        <v>122.79817262196117</v>
      </c>
      <c r="D38" s="87">
        <f t="shared" ref="D38:K38" si="10">365/D21</f>
        <v>134.49737897008941</v>
      </c>
      <c r="E38" s="87">
        <f t="shared" si="10"/>
        <v>124.90810656788716</v>
      </c>
      <c r="F38" s="87">
        <f t="shared" si="10"/>
        <v>132.03432549207875</v>
      </c>
      <c r="G38" s="87">
        <f t="shared" si="10"/>
        <v>123.04124698402973</v>
      </c>
      <c r="H38" s="87">
        <f t="shared" si="10"/>
        <v>113.70044658193061</v>
      </c>
      <c r="I38" s="87">
        <f t="shared" si="10"/>
        <v>98.351017421406652</v>
      </c>
      <c r="J38" s="87">
        <f t="shared" si="10"/>
        <v>113.66346924835922</v>
      </c>
      <c r="K38" s="87">
        <f t="shared" si="10"/>
        <v>122.300778820812</v>
      </c>
      <c r="L38" s="87">
        <f>365/L21</f>
        <v>133.27921188205633</v>
      </c>
      <c r="M38" s="97">
        <f>FORECAST($M$3,C38:L38,$C$3:$L$3)</f>
        <v>116.60440024117196</v>
      </c>
      <c r="N38" s="97">
        <f t="shared" ref="N38:Q38" si="11">FORECAST($M$3,D38:M38,$C$3:$L$3)</f>
        <v>114.75401680714847</v>
      </c>
      <c r="O38" s="97">
        <f t="shared" si="11"/>
        <v>115.69433280561427</v>
      </c>
      <c r="P38" s="97">
        <f t="shared" si="11"/>
        <v>115.76970106878741</v>
      </c>
      <c r="Q38" s="97">
        <f t="shared" si="11"/>
        <v>118.3940397712592</v>
      </c>
    </row>
    <row r="39" spans="2:17" x14ac:dyDescent="0.35"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97"/>
      <c r="N39" s="97"/>
      <c r="O39" s="97"/>
      <c r="P39" s="97"/>
      <c r="Q39" s="97"/>
    </row>
    <row r="40" spans="2:17" x14ac:dyDescent="0.35">
      <c r="B40" t="s">
        <v>176</v>
      </c>
      <c r="C40" s="87">
        <f>SUM(C36:C37)-C38</f>
        <v>-60.414695632467179</v>
      </c>
      <c r="D40" s="87">
        <f t="shared" ref="D40:L40" si="12">SUM(D36:D37)-D38</f>
        <v>-73.905679799627137</v>
      </c>
      <c r="E40" s="87">
        <f t="shared" si="12"/>
        <v>-63.428772482902367</v>
      </c>
      <c r="F40" s="87">
        <f t="shared" si="12"/>
        <v>-73.006913453637708</v>
      </c>
      <c r="G40" s="87">
        <f t="shared" si="12"/>
        <v>-59.366758428198992</v>
      </c>
      <c r="H40" s="87">
        <f t="shared" si="12"/>
        <v>-46.780620509138174</v>
      </c>
      <c r="I40" s="87">
        <f t="shared" si="12"/>
        <v>-36.130431875228169</v>
      </c>
      <c r="J40" s="87">
        <f t="shared" si="12"/>
        <v>-52.393544588226426</v>
      </c>
      <c r="K40" s="87">
        <f t="shared" si="12"/>
        <v>-51.85105877423274</v>
      </c>
      <c r="L40" s="87">
        <f t="shared" si="12"/>
        <v>-66.247748943313923</v>
      </c>
      <c r="M40" s="97">
        <f>FORECAST($M$3,C40:L40,$C$3:$L$3)</f>
        <v>-49.013465820504564</v>
      </c>
      <c r="N40" s="97">
        <f t="shared" ref="N40:Q40" si="13">FORECAST($M$3,D40:M40,$C$3:$L$3)</f>
        <v>-45.826607420119046</v>
      </c>
      <c r="O40" s="97">
        <f t="shared" si="13"/>
        <v>-45.722895559194797</v>
      </c>
      <c r="P40" s="97">
        <f t="shared" si="13"/>
        <v>-44.655326462640602</v>
      </c>
      <c r="Q40" s="97">
        <f t="shared" si="13"/>
        <v>-46.898016872886259</v>
      </c>
    </row>
  </sheetData>
  <mergeCells count="1">
    <mergeCell ref="B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4"/>
  <sheetViews>
    <sheetView showGridLines="0" zoomScale="74" workbookViewId="0">
      <selection activeCell="W10" sqref="W10"/>
    </sheetView>
  </sheetViews>
  <sheetFormatPr defaultRowHeight="14.5" x14ac:dyDescent="0.35"/>
  <cols>
    <col min="1" max="1" width="1.81640625" customWidth="1"/>
    <col min="2" max="2" width="15.1796875" customWidth="1"/>
    <col min="3" max="3" width="10.81640625" bestFit="1" customWidth="1"/>
    <col min="4" max="4" width="11.81640625" bestFit="1" customWidth="1"/>
    <col min="5" max="5" width="11.6328125" customWidth="1"/>
    <col min="7" max="7" width="22.81640625" customWidth="1"/>
    <col min="17" max="17" width="11.81640625" bestFit="1" customWidth="1"/>
  </cols>
  <sheetData>
    <row r="2" spans="2:18" x14ac:dyDescent="0.35">
      <c r="B2" s="175" t="str">
        <f>"WACC Calculation for "&amp; 'Data Sheet'!B1</f>
        <v>WACC Calculation for HINDUSTAN UNILEVER LTD</v>
      </c>
      <c r="C2" s="175"/>
      <c r="D2" s="175"/>
      <c r="E2" s="175"/>
      <c r="G2" s="175" t="str">
        <f>"Discounted Cash flow for "&amp;'Data Sheet'!B1</f>
        <v>Discounted Cash flow for HINDUSTAN UNILEVER LTD</v>
      </c>
      <c r="H2" s="175"/>
      <c r="I2" s="175"/>
      <c r="J2" s="175"/>
      <c r="K2" s="175"/>
      <c r="L2" s="175"/>
      <c r="M2" s="175"/>
      <c r="N2" s="175"/>
      <c r="O2" s="175"/>
      <c r="P2" s="175"/>
      <c r="Q2" s="175"/>
    </row>
    <row r="3" spans="2:18" x14ac:dyDescent="0.35">
      <c r="H3">
        <v>1</v>
      </c>
      <c r="I3">
        <v>2</v>
      </c>
      <c r="J3">
        <v>3</v>
      </c>
      <c r="K3">
        <v>4</v>
      </c>
      <c r="L3">
        <v>5</v>
      </c>
      <c r="M3">
        <v>6</v>
      </c>
      <c r="N3">
        <v>7</v>
      </c>
      <c r="O3">
        <v>8</v>
      </c>
      <c r="P3">
        <v>9</v>
      </c>
      <c r="Q3">
        <v>10</v>
      </c>
    </row>
    <row r="4" spans="2:18" x14ac:dyDescent="0.35">
      <c r="B4" t="s">
        <v>205</v>
      </c>
      <c r="D4" s="98"/>
      <c r="E4" s="119">
        <f>510848</f>
        <v>510848</v>
      </c>
      <c r="G4" t="s">
        <v>104</v>
      </c>
      <c r="H4" s="112">
        <f>'Historical FS'!C21</f>
        <v>6184</v>
      </c>
      <c r="I4" s="112">
        <f>'Historical FS'!D21</f>
        <v>6835</v>
      </c>
      <c r="J4" s="112">
        <f>'Historical FS'!E21</f>
        <v>8339</v>
      </c>
      <c r="K4" s="112">
        <f>'Historical FS'!F21</f>
        <v>8643</v>
      </c>
      <c r="L4" s="112">
        <f>'Historical FS'!G21</f>
        <v>9742</v>
      </c>
      <c r="M4" s="112">
        <f>'Historical FS'!H21</f>
        <v>11722</v>
      </c>
      <c r="N4" s="112">
        <f>'Historical FS'!I21</f>
        <v>12860</v>
      </c>
      <c r="O4" s="112">
        <f>'Historical FS'!J21</f>
        <v>13421</v>
      </c>
      <c r="P4" s="112">
        <f>'Historical FS'!K21</f>
        <v>13195</v>
      </c>
      <c r="Q4" s="112">
        <f>'Historical FS'!L21</f>
        <v>12848</v>
      </c>
    </row>
    <row r="5" spans="2:18" x14ac:dyDescent="0.35">
      <c r="B5" t="s">
        <v>206</v>
      </c>
      <c r="D5" s="98"/>
      <c r="E5" s="118">
        <v>1478</v>
      </c>
      <c r="G5" t="s">
        <v>210</v>
      </c>
      <c r="H5" s="85">
        <v>0.25409999999999999</v>
      </c>
      <c r="I5" s="85">
        <v>0.25409999999999999</v>
      </c>
      <c r="J5" s="85">
        <v>0.25409999999999999</v>
      </c>
      <c r="K5" s="85">
        <v>0.25409999999999999</v>
      </c>
      <c r="L5" s="85">
        <v>0.25409999999999999</v>
      </c>
      <c r="M5" s="85">
        <v>0.25409999999999999</v>
      </c>
      <c r="N5" s="85">
        <v>0.25409999999999999</v>
      </c>
      <c r="O5" s="85">
        <v>0.25409999999999999</v>
      </c>
      <c r="P5" s="85">
        <v>0.25409999999999999</v>
      </c>
      <c r="Q5" s="85">
        <v>0.25409999999999999</v>
      </c>
    </row>
    <row r="6" spans="2:18" x14ac:dyDescent="0.35">
      <c r="B6" t="s">
        <v>207</v>
      </c>
      <c r="D6" s="100"/>
      <c r="E6" s="108">
        <v>6.7699999999999996E-2</v>
      </c>
      <c r="G6" t="s">
        <v>217</v>
      </c>
      <c r="H6">
        <f>'Historical FS'!C19</f>
        <v>432</v>
      </c>
      <c r="I6">
        <f>'Historical FS'!D19</f>
        <v>520</v>
      </c>
      <c r="J6">
        <f>'Historical FS'!E19</f>
        <v>565</v>
      </c>
      <c r="K6">
        <f>'Historical FS'!F19</f>
        <v>1002</v>
      </c>
      <c r="L6">
        <f>'Historical FS'!G19</f>
        <v>1074</v>
      </c>
      <c r="M6">
        <f>'Historical FS'!H19</f>
        <v>1091</v>
      </c>
      <c r="N6">
        <f>'Historical FS'!I19</f>
        <v>1137</v>
      </c>
      <c r="O6">
        <f>'Historical FS'!J19</f>
        <v>1216</v>
      </c>
      <c r="P6">
        <f>'Historical FS'!K19</f>
        <v>1253</v>
      </c>
      <c r="Q6">
        <f>'Historical FS'!L19</f>
        <v>1333</v>
      </c>
    </row>
    <row r="7" spans="2:18" x14ac:dyDescent="0.35">
      <c r="B7" t="s">
        <v>208</v>
      </c>
      <c r="D7" s="85"/>
      <c r="E7" s="85">
        <f>E6+E8</f>
        <v>0.10949999999999999</v>
      </c>
      <c r="G7" t="s">
        <v>218</v>
      </c>
      <c r="H7" s="111">
        <f>'Historical FS'!C77</f>
        <v>-1113</v>
      </c>
      <c r="I7" s="111">
        <f>'Historical FS'!D77</f>
        <v>-895</v>
      </c>
      <c r="J7" s="111">
        <f>'Historical FS'!E77</f>
        <v>-767</v>
      </c>
      <c r="K7" s="111">
        <f>'Historical FS'!F77</f>
        <v>-862</v>
      </c>
      <c r="L7" s="111">
        <f>'Historical FS'!G77</f>
        <v>-4163</v>
      </c>
      <c r="M7" s="111">
        <f>'Historical FS'!H77</f>
        <v>-1228</v>
      </c>
      <c r="N7" s="111">
        <f>'Historical FS'!I77</f>
        <v>-1192</v>
      </c>
      <c r="O7" s="111">
        <f>'Historical FS'!J77</f>
        <v>-1477</v>
      </c>
      <c r="P7" s="111">
        <f>'Historical FS'!K77</f>
        <v>-1275</v>
      </c>
      <c r="Q7" s="111">
        <f>'Historical FS'!L77</f>
        <v>-1361</v>
      </c>
    </row>
    <row r="8" spans="2:18" x14ac:dyDescent="0.35">
      <c r="B8" t="s">
        <v>216</v>
      </c>
      <c r="D8" s="85"/>
      <c r="E8" s="109">
        <v>4.1799999999999997E-2</v>
      </c>
      <c r="G8" t="s">
        <v>219</v>
      </c>
      <c r="H8" s="111">
        <f>SUM('Historical FS'!C52:C53)-'Historical FS'!C42</f>
        <v>-2560</v>
      </c>
      <c r="I8" s="111">
        <f>SUM('Historical FS'!D52:D53)-'Historical FS'!D42</f>
        <v>-3347</v>
      </c>
      <c r="J8" s="111">
        <f>SUM('Historical FS'!E52:E53)-'Historical FS'!E42</f>
        <v>-2816</v>
      </c>
      <c r="K8" s="111">
        <f>SUM('Historical FS'!F52:F53)-'Historical FS'!F42</f>
        <v>-3619</v>
      </c>
      <c r="L8" s="111">
        <f>SUM('Historical FS'!G52:G53)-'Historical FS'!G42</f>
        <v>-3465</v>
      </c>
      <c r="M8" s="111">
        <f>SUM('Historical FS'!H52:H53)-'Historical FS'!H42</f>
        <v>-2736</v>
      </c>
      <c r="N8" s="111">
        <f>SUM('Historical FS'!I52:I53)-'Historical FS'!I42</f>
        <v>-2244</v>
      </c>
      <c r="O8" s="111">
        <f>SUM('Historical FS'!J52:J53)-'Historical FS'!J42</f>
        <v>-3467</v>
      </c>
      <c r="P8" s="111">
        <f>SUM('Historical FS'!K52:K53)-'Historical FS'!K42</f>
        <v>-3081</v>
      </c>
      <c r="Q8" s="111">
        <f>SUM('Historical FS'!L52:L53)-'Historical FS'!L42</f>
        <v>-5157</v>
      </c>
    </row>
    <row r="9" spans="2:18" x14ac:dyDescent="0.35">
      <c r="B9" t="s">
        <v>209</v>
      </c>
      <c r="E9" s="110">
        <v>0.78</v>
      </c>
    </row>
    <row r="10" spans="2:18" x14ac:dyDescent="0.35">
      <c r="B10" t="s">
        <v>210</v>
      </c>
      <c r="D10" s="99"/>
      <c r="E10" s="85">
        <f>'Historical FS'!L29/'Historical FS'!L26</f>
        <v>0.25406013828589807</v>
      </c>
      <c r="G10" s="105" t="s">
        <v>220</v>
      </c>
      <c r="H10" s="113">
        <f>H4*(1-H5)+H6+H7+H8</f>
        <v>1371.6455999999998</v>
      </c>
      <c r="I10" s="113">
        <f t="shared" ref="I10:Q10" si="0">I4*(1-I5)+I6+I7+I8</f>
        <v>1376.2264999999998</v>
      </c>
      <c r="J10" s="113">
        <f t="shared" si="0"/>
        <v>3202.0600999999997</v>
      </c>
      <c r="K10" s="113">
        <f t="shared" si="0"/>
        <v>2967.8136999999997</v>
      </c>
      <c r="L10" s="113">
        <f t="shared" si="0"/>
        <v>712.5578000000005</v>
      </c>
      <c r="M10" s="113">
        <f t="shared" si="0"/>
        <v>5870.4398000000001</v>
      </c>
      <c r="N10" s="113">
        <f t="shared" si="0"/>
        <v>7293.2739999999994</v>
      </c>
      <c r="O10" s="113">
        <f t="shared" si="0"/>
        <v>6282.7239000000009</v>
      </c>
      <c r="P10" s="113">
        <f t="shared" si="0"/>
        <v>6739.1504999999997</v>
      </c>
      <c r="Q10" s="113">
        <f t="shared" si="0"/>
        <v>4398.3232000000007</v>
      </c>
    </row>
    <row r="12" spans="2:18" x14ac:dyDescent="0.35">
      <c r="B12" t="s">
        <v>211</v>
      </c>
      <c r="D12" s="85"/>
      <c r="E12" s="102">
        <f>'Historical FS'!L81/'DCF Modelling'!E5</f>
        <v>0.28958051420838971</v>
      </c>
      <c r="G12" t="s">
        <v>221</v>
      </c>
      <c r="H12" s="103">
        <v>0.04</v>
      </c>
    </row>
    <row r="13" spans="2:18" x14ac:dyDescent="0.35">
      <c r="B13" t="s">
        <v>212</v>
      </c>
      <c r="E13" s="102">
        <f>E5/SUM(E4:E5)</f>
        <v>2.8848818916080775E-3</v>
      </c>
      <c r="G13" t="s">
        <v>222</v>
      </c>
      <c r="H13" s="85">
        <f>E17</f>
        <v>0.10063779713075978</v>
      </c>
    </row>
    <row r="14" spans="2:18" x14ac:dyDescent="0.35">
      <c r="B14" t="s">
        <v>213</v>
      </c>
      <c r="D14" s="87"/>
      <c r="E14" s="102">
        <f>E4/SUM(E4:E5)</f>
        <v>0.99711511810839193</v>
      </c>
      <c r="G14" s="32" t="s">
        <v>223</v>
      </c>
      <c r="H14" s="32">
        <f>(Q10*(1+H12))/(H13-H12)</f>
        <v>75435.723994657033</v>
      </c>
    </row>
    <row r="15" spans="2:18" x14ac:dyDescent="0.35">
      <c r="B15" t="s">
        <v>214</v>
      </c>
      <c r="D15" s="86"/>
      <c r="E15" s="102">
        <f>E6+(E7-E6)*E9</f>
        <v>0.10030399999999999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2:18" x14ac:dyDescent="0.35">
      <c r="G16" t="s">
        <v>227</v>
      </c>
      <c r="H16" s="115">
        <f>1/((1+$H$13)^H3)</f>
        <v>0.90856410947078936</v>
      </c>
      <c r="I16" s="115">
        <f t="shared" ref="I16:Q16" si="1">1/((1+$H$13)^I3)</f>
        <v>0.82548874101844838</v>
      </c>
      <c r="J16" s="115">
        <f t="shared" si="1"/>
        <v>0.75000944286158966</v>
      </c>
      <c r="K16" s="115">
        <f t="shared" si="1"/>
        <v>0.68143166154822299</v>
      </c>
      <c r="L16" s="115">
        <f t="shared" si="1"/>
        <v>0.61912435073976158</v>
      </c>
      <c r="M16" s="115">
        <f t="shared" si="1"/>
        <v>0.562514164381552</v>
      </c>
      <c r="N16" s="115">
        <f t="shared" si="1"/>
        <v>0.51108018082603002</v>
      </c>
      <c r="O16" s="115">
        <f t="shared" si="1"/>
        <v>0.46434910936037194</v>
      </c>
      <c r="P16" s="115">
        <f t="shared" si="1"/>
        <v>0.42189093502956054</v>
      </c>
      <c r="Q16" s="115">
        <f t="shared" si="1"/>
        <v>0.3833149616789312</v>
      </c>
      <c r="R16" s="32"/>
    </row>
    <row r="17" spans="2:18" x14ac:dyDescent="0.35">
      <c r="B17" s="106" t="s">
        <v>215</v>
      </c>
      <c r="C17" s="106"/>
      <c r="D17" s="106"/>
      <c r="E17" s="107">
        <f>(E14*E15)+(E12*E13)*(1-E10)</f>
        <v>0.10063779713075978</v>
      </c>
      <c r="G17" t="s">
        <v>224</v>
      </c>
      <c r="H17" s="116">
        <f>H10*H16</f>
        <v>1246.2279630735263</v>
      </c>
      <c r="I17" s="116">
        <f t="shared" ref="I17:Q17" si="2">I10*I16</f>
        <v>1136.0594808412254</v>
      </c>
      <c r="J17" s="116">
        <f t="shared" si="2"/>
        <v>2401.575311610326</v>
      </c>
      <c r="K17" s="116">
        <f t="shared" si="2"/>
        <v>2022.3622207565793</v>
      </c>
      <c r="L17" s="116">
        <f t="shared" si="2"/>
        <v>441.1618852895532</v>
      </c>
      <c r="M17" s="116">
        <f t="shared" si="2"/>
        <v>3302.2055386492052</v>
      </c>
      <c r="N17" s="116">
        <f t="shared" si="2"/>
        <v>3727.4477947337828</v>
      </c>
      <c r="O17" s="116">
        <f t="shared" si="2"/>
        <v>2917.3772473221229</v>
      </c>
      <c r="P17" s="116">
        <f t="shared" si="2"/>
        <v>2843.1865057499303</v>
      </c>
      <c r="Q17" s="116">
        <f t="shared" si="2"/>
        <v>1685.9430888595543</v>
      </c>
      <c r="R17" s="32"/>
    </row>
    <row r="18" spans="2:18" x14ac:dyDescent="0.35">
      <c r="G18" t="s">
        <v>225</v>
      </c>
      <c r="H18" s="116"/>
      <c r="I18" s="116"/>
      <c r="J18" s="116"/>
      <c r="K18" s="116"/>
      <c r="L18" s="116"/>
      <c r="M18" s="116"/>
      <c r="N18" s="116"/>
      <c r="O18" s="116"/>
      <c r="P18" s="116"/>
      <c r="Q18" s="116">
        <f>H14*Q16</f>
        <v>28915.64165223439</v>
      </c>
      <c r="R18" s="114"/>
    </row>
    <row r="19" spans="2:18" x14ac:dyDescent="0.35"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</row>
    <row r="20" spans="2:18" x14ac:dyDescent="0.35">
      <c r="G20" s="32" t="s">
        <v>226</v>
      </c>
      <c r="H20" s="117">
        <f>SUM(H17:Q18)</f>
        <v>50639.188689120201</v>
      </c>
      <c r="I20" s="114"/>
      <c r="J20" s="114"/>
      <c r="K20" s="114"/>
      <c r="L20" s="114"/>
      <c r="M20" s="114"/>
      <c r="N20" s="114"/>
      <c r="O20" s="114"/>
      <c r="P20" s="114"/>
      <c r="Q20" s="114"/>
      <c r="R20" s="114"/>
    </row>
    <row r="21" spans="2:18" x14ac:dyDescent="0.35">
      <c r="G21" s="32" t="s">
        <v>228</v>
      </c>
      <c r="H21" s="117">
        <f>H20-'Historical FS'!C40-'Historical FS'!C54</f>
        <v>48534.188689120201</v>
      </c>
    </row>
    <row r="22" spans="2:18" x14ac:dyDescent="0.35">
      <c r="G22" s="32"/>
      <c r="H22" s="32"/>
    </row>
    <row r="23" spans="2:18" x14ac:dyDescent="0.35">
      <c r="G23" s="32" t="s">
        <v>229</v>
      </c>
      <c r="H23" s="32">
        <f>'Data Sheet'!K93/10</f>
        <v>23.496000000000002</v>
      </c>
    </row>
    <row r="24" spans="2:18" x14ac:dyDescent="0.35">
      <c r="G24" s="32" t="s">
        <v>230</v>
      </c>
      <c r="H24" s="32">
        <f>H21/H23</f>
        <v>2065.6362227238765</v>
      </c>
    </row>
  </sheetData>
  <mergeCells count="2">
    <mergeCell ref="B2:E2"/>
    <mergeCell ref="G2:Q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5"/>
  <sheetViews>
    <sheetView showGridLines="0" zoomScale="7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35" sqref="J35"/>
    </sheetView>
  </sheetViews>
  <sheetFormatPr defaultRowHeight="14.5" x14ac:dyDescent="0.35"/>
  <cols>
    <col min="1" max="1" width="1.81640625" customWidth="1"/>
    <col min="2" max="2" width="21.453125" bestFit="1" customWidth="1"/>
    <col min="3" max="3" width="12" customWidth="1"/>
    <col min="4" max="4" width="16.26953125" bestFit="1" customWidth="1"/>
    <col min="5" max="5" width="14.1796875" customWidth="1"/>
    <col min="6" max="6" width="14.54296875" customWidth="1"/>
    <col min="7" max="7" width="12.26953125" customWidth="1"/>
    <col min="9" max="9" width="10.7265625" bestFit="1" customWidth="1"/>
    <col min="10" max="10" width="11.7265625" bestFit="1" customWidth="1"/>
    <col min="11" max="12" width="10.7265625" bestFit="1" customWidth="1"/>
    <col min="14" max="14" width="8.81640625" customWidth="1"/>
    <col min="15" max="15" width="16.90625" bestFit="1" customWidth="1"/>
    <col min="17" max="17" width="12.08984375" bestFit="1" customWidth="1"/>
    <col min="19" max="19" width="11.1796875" customWidth="1"/>
  </cols>
  <sheetData>
    <row r="2" spans="2:19" x14ac:dyDescent="0.35">
      <c r="B2" s="176" t="str">
        <f>"Comp Analysis for "&amp;'Data Sheet'!B1</f>
        <v>Comp Analysis for HINDUSTAN UNILEVER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</row>
    <row r="3" spans="2:19" x14ac:dyDescent="0.35">
      <c r="B3" s="121"/>
      <c r="C3" s="177" t="s">
        <v>231</v>
      </c>
      <c r="D3" s="177"/>
      <c r="E3" s="177"/>
      <c r="F3" s="177"/>
      <c r="G3" s="177"/>
      <c r="H3" s="125"/>
      <c r="I3" s="177" t="s">
        <v>235</v>
      </c>
      <c r="J3" s="177"/>
      <c r="K3" s="177"/>
      <c r="L3" s="177"/>
      <c r="M3" s="177"/>
      <c r="N3" s="121"/>
      <c r="O3" s="125"/>
      <c r="P3" s="125"/>
      <c r="Q3" s="125" t="s">
        <v>239</v>
      </c>
      <c r="R3" s="125"/>
      <c r="S3" s="125"/>
    </row>
    <row r="4" spans="2:19" x14ac:dyDescent="0.35">
      <c r="B4" s="121" t="s">
        <v>242</v>
      </c>
      <c r="C4" s="126" t="s">
        <v>232</v>
      </c>
      <c r="D4" s="126" t="s">
        <v>233</v>
      </c>
      <c r="E4" s="126" t="s">
        <v>234</v>
      </c>
      <c r="F4" s="126" t="s">
        <v>259</v>
      </c>
      <c r="G4" s="126" t="s">
        <v>226</v>
      </c>
      <c r="H4" s="120"/>
      <c r="I4" s="126" t="s">
        <v>236</v>
      </c>
      <c r="J4" s="126" t="s">
        <v>101</v>
      </c>
      <c r="K4" s="126" t="s">
        <v>237</v>
      </c>
      <c r="L4" s="126" t="s">
        <v>238</v>
      </c>
      <c r="M4" s="126"/>
      <c r="N4" s="121"/>
      <c r="O4" s="126" t="s">
        <v>240</v>
      </c>
      <c r="P4" s="126"/>
      <c r="Q4" s="126" t="s">
        <v>243</v>
      </c>
      <c r="R4" s="126"/>
      <c r="S4" s="126" t="s">
        <v>241</v>
      </c>
    </row>
    <row r="5" spans="2:19" x14ac:dyDescent="0.3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2:19" x14ac:dyDescent="0.35">
      <c r="B6" s="139" t="s">
        <v>247</v>
      </c>
      <c r="C6" s="140">
        <v>2174.1999999999998</v>
      </c>
      <c r="D6" s="140">
        <v>234.96</v>
      </c>
      <c r="E6" s="141">
        <f>C6*D6</f>
        <v>510850.03199999995</v>
      </c>
      <c r="F6" s="141">
        <f>'Historical FS'!K40-'Historical FS'!K54</f>
        <v>-5906</v>
      </c>
      <c r="G6" s="141">
        <f>E6+F6</f>
        <v>504944.03199999995</v>
      </c>
      <c r="H6" s="141"/>
      <c r="I6" s="141">
        <f>'Historical FS'!L6</f>
        <v>64468</v>
      </c>
      <c r="J6" s="141">
        <f>'Historical FS'!L16</f>
        <v>14181</v>
      </c>
      <c r="K6" s="141">
        <f>'Historical FS'!L21</f>
        <v>12848</v>
      </c>
      <c r="L6" s="141">
        <f>'Historical FS'!L31</f>
        <v>9278</v>
      </c>
      <c r="M6" s="141"/>
      <c r="N6" s="141"/>
      <c r="O6" s="144">
        <f>G6/I6</f>
        <v>7.8324755227399629</v>
      </c>
      <c r="P6" s="144"/>
      <c r="Q6" s="144">
        <f>G6/J6</f>
        <v>35.607082152175444</v>
      </c>
      <c r="R6" s="144"/>
      <c r="S6" s="144">
        <f>E6/L6</f>
        <v>55.060361284759644</v>
      </c>
    </row>
    <row r="7" spans="2:19" x14ac:dyDescent="0.35">
      <c r="B7" s="145" t="s">
        <v>244</v>
      </c>
      <c r="C7" s="146">
        <v>290</v>
      </c>
      <c r="D7" s="146">
        <v>1252.95</v>
      </c>
      <c r="E7" s="147">
        <f t="shared" ref="E7:E9" si="0">C7*D7</f>
        <v>363355.5</v>
      </c>
      <c r="F7" s="146">
        <v>-3727</v>
      </c>
      <c r="G7" s="147">
        <f t="shared" ref="G7:G9" si="1">E7+F7</f>
        <v>359628.5</v>
      </c>
      <c r="H7" s="147"/>
      <c r="I7" s="146">
        <v>78868.399999999994</v>
      </c>
      <c r="J7" s="148">
        <v>28829.09</v>
      </c>
      <c r="K7" s="146">
        <v>28118.560000000001</v>
      </c>
      <c r="L7" s="146">
        <v>20689.47</v>
      </c>
      <c r="M7" s="147"/>
      <c r="N7" s="147"/>
      <c r="O7" s="149">
        <f t="shared" ref="O7:O9" si="2">G7/I7</f>
        <v>4.5598554046994746</v>
      </c>
      <c r="P7" s="149"/>
      <c r="Q7" s="149">
        <f t="shared" ref="Q7:Q9" si="3">G7/J7</f>
        <v>12.474500582571284</v>
      </c>
      <c r="R7" s="149"/>
      <c r="S7" s="149">
        <f t="shared" ref="S7:S8" si="4">E7/L7</f>
        <v>17.562339682940163</v>
      </c>
    </row>
    <row r="8" spans="2:19" x14ac:dyDescent="0.35">
      <c r="B8" s="145" t="s">
        <v>245</v>
      </c>
      <c r="C8" s="146">
        <v>559.75</v>
      </c>
      <c r="D8" s="146">
        <v>12.12</v>
      </c>
      <c r="E8" s="147">
        <f t="shared" si="0"/>
        <v>6784.1699999999992</v>
      </c>
      <c r="F8" s="146">
        <v>808</v>
      </c>
      <c r="G8" s="147">
        <f t="shared" si="1"/>
        <v>7592.1699999999992</v>
      </c>
      <c r="H8" s="147"/>
      <c r="I8" s="146">
        <v>4251.04</v>
      </c>
      <c r="J8" s="146">
        <v>372.02</v>
      </c>
      <c r="K8" s="146">
        <v>281.94</v>
      </c>
      <c r="L8" s="146">
        <v>149.03</v>
      </c>
      <c r="M8" s="147"/>
      <c r="N8" s="147"/>
      <c r="O8" s="149">
        <f t="shared" si="2"/>
        <v>1.7859559072603408</v>
      </c>
      <c r="P8" s="149"/>
      <c r="Q8" s="149">
        <f t="shared" si="3"/>
        <v>20.407961937530239</v>
      </c>
      <c r="R8" s="149"/>
      <c r="S8" s="149">
        <f t="shared" si="4"/>
        <v>45.52217674293766</v>
      </c>
    </row>
    <row r="9" spans="2:19" x14ac:dyDescent="0.35">
      <c r="B9" s="145" t="s">
        <v>246</v>
      </c>
      <c r="C9" s="146">
        <v>280.85000000000002</v>
      </c>
      <c r="D9" s="146">
        <v>5.12</v>
      </c>
      <c r="E9" s="147">
        <f t="shared" si="0"/>
        <v>1437.9520000000002</v>
      </c>
      <c r="F9" s="146">
        <v>459</v>
      </c>
      <c r="G9" s="147">
        <f t="shared" si="1"/>
        <v>1896.9520000000002</v>
      </c>
      <c r="H9" s="147"/>
      <c r="I9" s="146">
        <v>1987.94</v>
      </c>
      <c r="J9" s="146">
        <v>108.19</v>
      </c>
      <c r="K9" s="146">
        <v>53.7</v>
      </c>
      <c r="L9" s="146">
        <v>3.53</v>
      </c>
      <c r="M9" s="147"/>
      <c r="N9" s="147"/>
      <c r="O9" s="149">
        <f t="shared" si="2"/>
        <v>0.95423000694185955</v>
      </c>
      <c r="P9" s="149"/>
      <c r="Q9" s="149">
        <f t="shared" si="3"/>
        <v>17.533524355300862</v>
      </c>
      <c r="R9" s="149"/>
      <c r="S9" s="149">
        <f>E9/L9</f>
        <v>407.35184135977346</v>
      </c>
    </row>
    <row r="10" spans="2:19" x14ac:dyDescent="0.35"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</row>
    <row r="11" spans="2:19" x14ac:dyDescent="0.35">
      <c r="B11" s="150" t="s">
        <v>248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1">
        <f>MAX(O6:O9)</f>
        <v>7.8324755227399629</v>
      </c>
      <c r="P11" s="151"/>
      <c r="Q11" s="151">
        <f>MAX(Q6:Q9)</f>
        <v>35.607082152175444</v>
      </c>
      <c r="R11" s="151"/>
      <c r="S11" s="151">
        <f>MAX(S6:S9)</f>
        <v>407.35184135977346</v>
      </c>
    </row>
    <row r="12" spans="2:19" x14ac:dyDescent="0.35">
      <c r="B12" s="150" t="s">
        <v>249</v>
      </c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1">
        <f>QUARTILE(O6:O9,3)</f>
        <v>5.3780104342095969</v>
      </c>
      <c r="P12" s="151"/>
      <c r="Q12" s="151">
        <f>QUARTILE(Q6:Q9,3)</f>
        <v>24.20774199119154</v>
      </c>
      <c r="R12" s="151"/>
      <c r="S12" s="151">
        <f>QUARTILE(S6:S9,3)</f>
        <v>143.1332313035131</v>
      </c>
    </row>
    <row r="13" spans="2:19" x14ac:dyDescent="0.35">
      <c r="B13" s="150" t="s">
        <v>250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2">
        <f>MEDIAN(O6:O9)</f>
        <v>3.1729056559799078</v>
      </c>
      <c r="P13" s="152"/>
      <c r="Q13" s="152">
        <f>MEDIAN(Q6:Q9)</f>
        <v>18.97074314641555</v>
      </c>
      <c r="R13" s="152"/>
      <c r="S13" s="152">
        <f>MEDIAN(S6:S9)</f>
        <v>50.291269013848648</v>
      </c>
    </row>
    <row r="14" spans="2:19" x14ac:dyDescent="0.35">
      <c r="B14" s="150" t="s">
        <v>251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2">
        <f>AVERAGE(O6:O9)</f>
        <v>3.7831292104104097</v>
      </c>
      <c r="P14" s="152"/>
      <c r="Q14" s="152">
        <f>AVERAGE(Q6:Q9)</f>
        <v>21.505767256894458</v>
      </c>
      <c r="R14" s="152"/>
      <c r="S14" s="152">
        <f>AVERAGE(S6:S9)</f>
        <v>131.37417976760273</v>
      </c>
    </row>
    <row r="15" spans="2:19" x14ac:dyDescent="0.35">
      <c r="B15" s="150" t="s">
        <v>252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1">
        <f>QUARTILE(O6:O9,1)</f>
        <v>1.5780244321807206</v>
      </c>
      <c r="P15" s="151"/>
      <c r="Q15" s="151">
        <f>QUARTILE(Q6:Q9,1)</f>
        <v>16.268768412118469</v>
      </c>
      <c r="R15" s="151"/>
      <c r="S15" s="151">
        <f>QUARTILE(S6:S9,1)</f>
        <v>38.532217477938289</v>
      </c>
    </row>
    <row r="16" spans="2:19" x14ac:dyDescent="0.35">
      <c r="B16" s="150" t="s">
        <v>253</v>
      </c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1">
        <f>MIN(O6:O9)</f>
        <v>0.95423000694185955</v>
      </c>
      <c r="P16" s="151"/>
      <c r="Q16" s="151">
        <f>MIN(Q6:Q9)</f>
        <v>12.474500582571284</v>
      </c>
      <c r="R16" s="151"/>
      <c r="S16" s="151">
        <f>MIN(S6:S9)</f>
        <v>17.562339682940163</v>
      </c>
    </row>
    <row r="19" spans="2:19" x14ac:dyDescent="0.35">
      <c r="B19" s="137" t="str">
        <f>B6</f>
        <v>Hind. Unilever Ltd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 t="s">
        <v>240</v>
      </c>
      <c r="P19" s="137"/>
      <c r="Q19" s="137" t="s">
        <v>243</v>
      </c>
      <c r="R19" s="137"/>
      <c r="S19" s="137" t="s">
        <v>241</v>
      </c>
    </row>
    <row r="20" spans="2:19" x14ac:dyDescent="0.35">
      <c r="B20" t="s">
        <v>254</v>
      </c>
      <c r="O20" s="101">
        <f>$I$6*O13</f>
        <v>204550.88182971269</v>
      </c>
      <c r="P20" s="101"/>
      <c r="Q20" s="101">
        <f>J6*Q13</f>
        <v>269024.10855931893</v>
      </c>
      <c r="R20" s="101"/>
      <c r="S20" s="101">
        <f>S22+S21</f>
        <v>460696.39391048776</v>
      </c>
    </row>
    <row r="21" spans="2:19" x14ac:dyDescent="0.35">
      <c r="B21" t="s">
        <v>255</v>
      </c>
      <c r="O21" s="101">
        <f>$F$6</f>
        <v>-5906</v>
      </c>
      <c r="P21" s="101"/>
      <c r="Q21" s="101">
        <f t="shared" ref="Q21:S21" si="5">$F$6</f>
        <v>-5906</v>
      </c>
      <c r="R21" s="101"/>
      <c r="S21" s="101">
        <f t="shared" si="5"/>
        <v>-5906</v>
      </c>
    </row>
    <row r="22" spans="2:19" x14ac:dyDescent="0.35">
      <c r="B22" t="s">
        <v>256</v>
      </c>
      <c r="O22" s="101">
        <f>O20-O21</f>
        <v>210456.88182971269</v>
      </c>
      <c r="P22" s="101"/>
      <c r="Q22" s="101">
        <f>Q20-Q21</f>
        <v>274930.10855931893</v>
      </c>
      <c r="R22" s="101"/>
      <c r="S22" s="101">
        <f>S13*L6</f>
        <v>466602.39391048776</v>
      </c>
    </row>
    <row r="23" spans="2:19" x14ac:dyDescent="0.35">
      <c r="B23" t="s">
        <v>257</v>
      </c>
      <c r="O23" s="138">
        <f>$D$6</f>
        <v>234.96</v>
      </c>
      <c r="P23" s="138"/>
      <c r="Q23" s="138">
        <f t="shared" ref="Q23:S23" si="6">$D$6</f>
        <v>234.96</v>
      </c>
      <c r="R23" s="138"/>
      <c r="S23" s="138">
        <f t="shared" si="6"/>
        <v>234.96</v>
      </c>
    </row>
    <row r="24" spans="2:19" x14ac:dyDescent="0.35">
      <c r="B24" s="142" t="s">
        <v>258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3">
        <f>O22/O23</f>
        <v>895.71366117514754</v>
      </c>
      <c r="P24" s="143"/>
      <c r="Q24" s="143">
        <f>Q22/Q23</f>
        <v>1170.1145240011872</v>
      </c>
      <c r="R24" s="143"/>
      <c r="S24" s="143">
        <f t="shared" ref="S24" si="7">S22/S23</f>
        <v>1985.8801238955045</v>
      </c>
    </row>
    <row r="25" spans="2:19" x14ac:dyDescent="0.35">
      <c r="O25" t="str">
        <f>IF($O$24&gt;C6,"Undervalued","Overvalued")</f>
        <v>Overvalued</v>
      </c>
      <c r="Q25" t="str">
        <f t="shared" ref="Q25:S25" si="8">IF($O$24&gt;E6,"Undervalued","Overvalued")</f>
        <v>Overvalued</v>
      </c>
      <c r="S25" t="str">
        <f t="shared" si="8"/>
        <v>Overvalued</v>
      </c>
    </row>
  </sheetData>
  <mergeCells count="3">
    <mergeCell ref="B2:S2"/>
    <mergeCell ref="C3:G3"/>
    <mergeCell ref="I3:M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39"/>
  <sheetViews>
    <sheetView showGridLines="0" zoomScale="42" zoomScaleNormal="80" workbookViewId="0">
      <selection activeCell="Z2" sqref="Z2:AH2"/>
    </sheetView>
  </sheetViews>
  <sheetFormatPr defaultRowHeight="14.5" x14ac:dyDescent="0.35"/>
  <cols>
    <col min="1" max="1" width="1.7265625" customWidth="1"/>
    <col min="2" max="2" width="22.453125" bestFit="1" customWidth="1"/>
    <col min="3" max="4" width="12.54296875" bestFit="1" customWidth="1"/>
    <col min="5" max="5" width="13.1796875" bestFit="1" customWidth="1"/>
    <col min="6" max="6" width="12.54296875" bestFit="1" customWidth="1"/>
    <col min="7" max="11" width="9" bestFit="1" customWidth="1"/>
    <col min="14" max="14" width="22.453125" bestFit="1" customWidth="1"/>
    <col min="26" max="26" width="22.453125" bestFit="1" customWidth="1"/>
    <col min="36" max="36" width="22.453125" bestFit="1" customWidth="1"/>
    <col min="37" max="37" width="12.26953125" bestFit="1" customWidth="1"/>
  </cols>
  <sheetData>
    <row r="2" spans="2:44" x14ac:dyDescent="0.35">
      <c r="B2" s="176" t="str">
        <f>"Common Size Income Statment for "&amp;'Data Sheet'!B1</f>
        <v>Common Size Income Statment for HINDUSTAN UNILEVER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56"/>
      <c r="N2" s="176" t="str">
        <f>"Common Size Income Statment for "&amp;'Comparables Data'!A1</f>
        <v>Common Size Income Statment for ITC LTD</v>
      </c>
      <c r="O2" s="176"/>
      <c r="P2" s="176"/>
      <c r="Q2" s="176"/>
      <c r="R2" s="176"/>
      <c r="S2" s="176"/>
      <c r="T2" s="176"/>
      <c r="U2" s="176"/>
      <c r="V2" s="176"/>
      <c r="W2" s="176"/>
      <c r="X2" s="176"/>
      <c r="Z2" s="176" t="str">
        <f>"Common Size Income Statment for "&amp;'Comparables Data'!O1</f>
        <v>Common Size Income Statment for HINDUSTAN FOODS LTD</v>
      </c>
      <c r="AA2" s="176"/>
      <c r="AB2" s="176"/>
      <c r="AC2" s="176"/>
      <c r="AD2" s="176"/>
      <c r="AE2" s="176"/>
      <c r="AF2" s="176"/>
      <c r="AG2" s="176"/>
      <c r="AH2" s="176"/>
      <c r="AI2" s="154"/>
      <c r="AJ2" s="176" t="str">
        <f>"Common Size Income Statment for "&amp;'Comparables Data'!Z1</f>
        <v>Common Size Income Statment for GODAVARI BIOREFINERIES LTD</v>
      </c>
      <c r="AK2" s="176"/>
      <c r="AL2" s="176"/>
      <c r="AM2" s="176"/>
      <c r="AN2" s="176"/>
      <c r="AO2" s="176"/>
      <c r="AP2" s="176"/>
      <c r="AQ2" s="176"/>
      <c r="AR2" s="154"/>
    </row>
    <row r="3" spans="2:44" x14ac:dyDescent="0.35">
      <c r="B3" s="122" t="s">
        <v>93</v>
      </c>
      <c r="C3" s="158">
        <f>'Historical FS'!C3</f>
        <v>42825</v>
      </c>
      <c r="D3" s="158">
        <f>'Historical FS'!D3</f>
        <v>43190</v>
      </c>
      <c r="E3" s="158">
        <f>'Historical FS'!E3</f>
        <v>43555</v>
      </c>
      <c r="F3" s="158">
        <f>'Historical FS'!F3</f>
        <v>43921</v>
      </c>
      <c r="G3" s="158">
        <f>'Historical FS'!G3</f>
        <v>44286</v>
      </c>
      <c r="H3" s="158">
        <f>'Historical FS'!H3</f>
        <v>44651</v>
      </c>
      <c r="I3" s="158">
        <f>'Historical FS'!I3</f>
        <v>45016</v>
      </c>
      <c r="J3" s="158">
        <f>'Historical FS'!J3</f>
        <v>45382</v>
      </c>
      <c r="K3" s="158">
        <f>'Historical FS'!K3</f>
        <v>45747</v>
      </c>
      <c r="L3" s="158">
        <f>'Historical FS'!L3</f>
        <v>46112</v>
      </c>
      <c r="M3" s="157"/>
      <c r="N3" s="122" t="s">
        <v>93</v>
      </c>
      <c r="O3" s="158">
        <f>C3</f>
        <v>42825</v>
      </c>
      <c r="P3" s="158">
        <f t="shared" ref="P3:X3" si="0">D3</f>
        <v>43190</v>
      </c>
      <c r="Q3" s="158">
        <f t="shared" si="0"/>
        <v>43555</v>
      </c>
      <c r="R3" s="158">
        <f t="shared" si="0"/>
        <v>43921</v>
      </c>
      <c r="S3" s="158">
        <f t="shared" si="0"/>
        <v>44286</v>
      </c>
      <c r="T3" s="158">
        <f t="shared" si="0"/>
        <v>44651</v>
      </c>
      <c r="U3" s="158">
        <f t="shared" si="0"/>
        <v>45016</v>
      </c>
      <c r="V3" s="158">
        <f t="shared" si="0"/>
        <v>45382</v>
      </c>
      <c r="W3" s="158">
        <f t="shared" si="0"/>
        <v>45747</v>
      </c>
      <c r="X3" s="158">
        <f t="shared" si="0"/>
        <v>46112</v>
      </c>
      <c r="Z3" s="122" t="s">
        <v>93</v>
      </c>
      <c r="AA3" s="163">
        <f>Q3</f>
        <v>43555</v>
      </c>
      <c r="AB3" s="163">
        <f t="shared" ref="AB3:AH3" si="1">R3</f>
        <v>43921</v>
      </c>
      <c r="AC3" s="163">
        <f t="shared" si="1"/>
        <v>44286</v>
      </c>
      <c r="AD3" s="163">
        <f t="shared" si="1"/>
        <v>44651</v>
      </c>
      <c r="AE3" s="163">
        <f t="shared" si="1"/>
        <v>45016</v>
      </c>
      <c r="AF3" s="163">
        <f t="shared" si="1"/>
        <v>45382</v>
      </c>
      <c r="AG3" s="163">
        <f t="shared" si="1"/>
        <v>45747</v>
      </c>
      <c r="AH3" s="163">
        <f t="shared" si="1"/>
        <v>46112</v>
      </c>
      <c r="AI3" s="155"/>
      <c r="AJ3" s="122" t="s">
        <v>93</v>
      </c>
      <c r="AK3" s="163">
        <f>AB3</f>
        <v>43921</v>
      </c>
      <c r="AL3" s="163">
        <f t="shared" ref="AL3:AQ3" si="2">AC3</f>
        <v>44286</v>
      </c>
      <c r="AM3" s="163">
        <f t="shared" si="2"/>
        <v>44651</v>
      </c>
      <c r="AN3" s="163">
        <f t="shared" si="2"/>
        <v>45016</v>
      </c>
      <c r="AO3" s="163">
        <f t="shared" si="2"/>
        <v>45382</v>
      </c>
      <c r="AP3" s="163">
        <f t="shared" si="2"/>
        <v>45747</v>
      </c>
      <c r="AQ3" s="163">
        <f t="shared" si="2"/>
        <v>46112</v>
      </c>
      <c r="AR3" s="164"/>
    </row>
    <row r="4" spans="2:44" x14ac:dyDescent="0.35">
      <c r="B4" s="159" t="str">
        <f>'Data Sheet'!A17</f>
        <v>Sales</v>
      </c>
      <c r="C4" s="160">
        <f>'Data Sheet'!B17/'Data Sheet'!$B$17</f>
        <v>1</v>
      </c>
      <c r="D4" s="160">
        <f>'Data Sheet'!C17/'Data Sheet'!$C$17</f>
        <v>1</v>
      </c>
      <c r="E4" s="160">
        <f>'Data Sheet'!D17/'Data Sheet'!$D$17</f>
        <v>1</v>
      </c>
      <c r="F4" s="160">
        <f>'Data Sheet'!E17/'Data Sheet'!$E$17</f>
        <v>1</v>
      </c>
      <c r="G4" s="160">
        <f>'Data Sheet'!F17/'Data Sheet'!$F$17</f>
        <v>1</v>
      </c>
      <c r="H4" s="160">
        <f>'Data Sheet'!G17/'Data Sheet'!$G$17</f>
        <v>1</v>
      </c>
      <c r="I4" s="160">
        <f>'Data Sheet'!H17/'Data Sheet'!$H$17</f>
        <v>1</v>
      </c>
      <c r="J4" s="160">
        <f>'Data Sheet'!I17/'Data Sheet'!$I$17</f>
        <v>1</v>
      </c>
      <c r="K4" s="160">
        <f>'Data Sheet'!J17/'Data Sheet'!$J$17</f>
        <v>1</v>
      </c>
      <c r="L4" s="160">
        <f>'Data Sheet'!K17/'Data Sheet'!$K$17</f>
        <v>1</v>
      </c>
      <c r="N4" s="35" t="str">
        <f>'Comparables Data'!A3</f>
        <v>Sales</v>
      </c>
      <c r="O4" s="104">
        <f>'Comparables Data'!B3/'Comparables Data'!B$3</f>
        <v>1</v>
      </c>
      <c r="P4" s="104">
        <f>'Comparables Data'!C3/'Comparables Data'!C$3</f>
        <v>1</v>
      </c>
      <c r="Q4" s="104">
        <f>'Comparables Data'!D3/'Comparables Data'!D$3</f>
        <v>1</v>
      </c>
      <c r="R4" s="104">
        <f>'Comparables Data'!E3/'Comparables Data'!E$3</f>
        <v>1</v>
      </c>
      <c r="S4" s="104">
        <f>'Comparables Data'!F3/'Comparables Data'!F$3</f>
        <v>1</v>
      </c>
      <c r="T4" s="104">
        <f>'Comparables Data'!G3/'Comparables Data'!G$3</f>
        <v>1</v>
      </c>
      <c r="U4" s="104">
        <f>'Comparables Data'!H3/'Comparables Data'!H$3</f>
        <v>1</v>
      </c>
      <c r="V4" s="104">
        <f>'Comparables Data'!I3/'Comparables Data'!I$3</f>
        <v>1</v>
      </c>
      <c r="W4" s="104">
        <f>'Comparables Data'!J3/'Comparables Data'!J$3</f>
        <v>1</v>
      </c>
      <c r="X4" s="104">
        <f>'Comparables Data'!K3/'Comparables Data'!K$3</f>
        <v>1</v>
      </c>
      <c r="Z4" s="35" t="str">
        <f>'Comparables Data'!M3</f>
        <v>Sales</v>
      </c>
      <c r="AA4" s="85">
        <f>'Comparables Data'!P3/'Comparables Data'!P$3</f>
        <v>1</v>
      </c>
      <c r="AB4" s="85">
        <f>'Comparables Data'!Q3/'Comparables Data'!Q$3</f>
        <v>1</v>
      </c>
      <c r="AC4" s="85">
        <f>'Comparables Data'!R3/'Comparables Data'!R$3</f>
        <v>1</v>
      </c>
      <c r="AD4" s="85">
        <f>'Comparables Data'!S3/'Comparables Data'!S$3</f>
        <v>1</v>
      </c>
      <c r="AE4" s="85">
        <f>'Comparables Data'!T3/'Comparables Data'!T$3</f>
        <v>1</v>
      </c>
      <c r="AF4" s="85">
        <f>'Comparables Data'!U3/'Comparables Data'!U$3</f>
        <v>1</v>
      </c>
      <c r="AG4" s="85">
        <f>'Comparables Data'!V3/'Comparables Data'!V$3</f>
        <v>1</v>
      </c>
      <c r="AH4" s="85">
        <f>'Comparables Data'!W3/'Comparables Data'!W$3</f>
        <v>1</v>
      </c>
      <c r="AJ4" s="35" t="str">
        <f>'Comparables Data'!Y3</f>
        <v>Sales</v>
      </c>
      <c r="AK4" s="85">
        <f>'Comparables Data'!AC3/'Comparables Data'!AC$3</f>
        <v>1</v>
      </c>
      <c r="AL4" s="85">
        <f>'Comparables Data'!AD3/'Comparables Data'!AD$3</f>
        <v>1</v>
      </c>
      <c r="AM4" s="85">
        <f>'Comparables Data'!AE3/'Comparables Data'!AE$3</f>
        <v>1</v>
      </c>
      <c r="AN4" s="85">
        <f>'Comparables Data'!AF3/'Comparables Data'!AF$3</f>
        <v>1</v>
      </c>
      <c r="AO4" s="85">
        <f>'Comparables Data'!AG3/'Comparables Data'!AG$3</f>
        <v>1</v>
      </c>
      <c r="AP4" s="85">
        <f>'Comparables Data'!AH3/'Comparables Data'!AH$3</f>
        <v>1</v>
      </c>
      <c r="AQ4" s="85">
        <f>'Comparables Data'!AI3/'Comparables Data'!AI$3</f>
        <v>1</v>
      </c>
    </row>
    <row r="5" spans="2:44" x14ac:dyDescent="0.35">
      <c r="B5" s="159" t="str">
        <f>'Data Sheet'!A18</f>
        <v>Raw Material Cost</v>
      </c>
      <c r="C5" s="160">
        <f>'Data Sheet'!B18/'Data Sheet'!$B$17</f>
        <v>0.41028888486822268</v>
      </c>
      <c r="D5" s="160">
        <f>'Data Sheet'!C18/'Data Sheet'!$C$17</f>
        <v>0.40042200028133351</v>
      </c>
      <c r="E5" s="160">
        <f>'Data Sheet'!D18/'Data Sheet'!$D$17</f>
        <v>0.40307809717629101</v>
      </c>
      <c r="F5" s="160">
        <f>'Data Sheet'!E18/'Data Sheet'!$E$17</f>
        <v>0.39456551793479627</v>
      </c>
      <c r="G5" s="160">
        <f>'Data Sheet'!F18/'Data Sheet'!$F$17</f>
        <v>0.42827677128519182</v>
      </c>
      <c r="H5" s="160">
        <f>'Data Sheet'!G18/'Data Sheet'!$G$17</f>
        <v>0.43608664149792165</v>
      </c>
      <c r="I5" s="160">
        <f>'Data Sheet'!H18/'Data Sheet'!$H$17</f>
        <v>0.46924727632882141</v>
      </c>
      <c r="J5" s="160">
        <f>'Data Sheet'!I18/'Data Sheet'!$I$17</f>
        <v>0.43333979578648057</v>
      </c>
      <c r="K5" s="160">
        <f>'Data Sheet'!J18/'Data Sheet'!$J$17</f>
        <v>0.43376597965040437</v>
      </c>
      <c r="L5" s="160">
        <f>'Data Sheet'!K18/'Data Sheet'!$K$17</f>
        <v>0.45228640565862133</v>
      </c>
      <c r="N5" s="35" t="str">
        <f>'Comparables Data'!A4</f>
        <v>Raw Material Cost</v>
      </c>
      <c r="O5" s="104">
        <f>'Comparables Data'!B4/'Comparables Data'!B$3</f>
        <v>0.36140887026627638</v>
      </c>
      <c r="P5" s="104">
        <f>'Comparables Data'!C4/'Comparables Data'!C$3</f>
        <v>0.34126770411430057</v>
      </c>
      <c r="Q5" s="104">
        <f>'Comparables Data'!D4/'Comparables Data'!D$3</f>
        <v>0.36457743323380137</v>
      </c>
      <c r="R5" s="104">
        <f>'Comparables Data'!E4/'Comparables Data'!E$3</f>
        <v>0.36544726723455434</v>
      </c>
      <c r="S5" s="104">
        <f>'Comparables Data'!F4/'Comparables Data'!F$3</f>
        <v>0.42179832695358777</v>
      </c>
      <c r="T5" s="104">
        <f>'Comparables Data'!G4/'Comparables Data'!G$3</f>
        <v>0.44638923800889574</v>
      </c>
      <c r="U5" s="104">
        <f>'Comparables Data'!H4/'Comparables Data'!H$3</f>
        <v>0.41405473255908887</v>
      </c>
      <c r="V5" s="104">
        <f>'Comparables Data'!I4/'Comparables Data'!I$3</f>
        <v>0.40258779596166394</v>
      </c>
      <c r="W5" s="104">
        <f>'Comparables Data'!J4/'Comparables Data'!J$3</f>
        <v>0.43418640224928956</v>
      </c>
      <c r="X5" s="104">
        <f>'Comparables Data'!K4/'Comparables Data'!K$3</f>
        <v>0.44502411612255349</v>
      </c>
      <c r="Z5" s="35" t="str">
        <f>'Comparables Data'!M4</f>
        <v>Raw Material Cost</v>
      </c>
      <c r="AA5" s="85">
        <f>'Comparables Data'!P4/'Comparables Data'!P$3</f>
        <v>0.69382610640157749</v>
      </c>
      <c r="AB5" s="85">
        <f>'Comparables Data'!Q4/'Comparables Data'!Q$3</f>
        <v>0.7447078637129162</v>
      </c>
      <c r="AC5" s="85">
        <f>'Comparables Data'!R4/'Comparables Data'!R$3</f>
        <v>0.76814657193349456</v>
      </c>
      <c r="AD5" s="85">
        <f>'Comparables Data'!S4/'Comparables Data'!S$3</f>
        <v>0.77290819077496198</v>
      </c>
      <c r="AE5" s="85">
        <f>'Comparables Data'!T4/'Comparables Data'!T$3</f>
        <v>0.69152043970086174</v>
      </c>
      <c r="AF5" s="85">
        <f>'Comparables Data'!U4/'Comparables Data'!U$3</f>
        <v>0.68803975736102885</v>
      </c>
      <c r="AG5" s="85">
        <f>'Comparables Data'!V4/'Comparables Data'!V$3</f>
        <v>0.64658089204854696</v>
      </c>
      <c r="AH5" s="85">
        <f>'Comparables Data'!W4/'Comparables Data'!W$3</f>
        <v>0.78795306560277012</v>
      </c>
      <c r="AJ5" s="35" t="str">
        <f>'Comparables Data'!Y4</f>
        <v>Raw Material Cost</v>
      </c>
      <c r="AK5" s="85">
        <f>'Comparables Data'!AC4/'Comparables Data'!AC$3</f>
        <v>0.60972483980399539</v>
      </c>
      <c r="AL5" s="85">
        <f>'Comparables Data'!AD4/'Comparables Data'!AD$3</f>
        <v>0.71183939356508064</v>
      </c>
      <c r="AM5" s="85">
        <f>'Comparables Data'!AE4/'Comparables Data'!AE$3</f>
        <v>0.72255085676690189</v>
      </c>
      <c r="AN5" s="85">
        <f>'Comparables Data'!AF4/'Comparables Data'!AF$3</f>
        <v>0.65702415756270194</v>
      </c>
      <c r="AO5" s="85">
        <f>'Comparables Data'!AG4/'Comparables Data'!AG$3</f>
        <v>0.9162788215833565</v>
      </c>
      <c r="AP5" s="85">
        <f>'Comparables Data'!AH4/'Comparables Data'!AH$3</f>
        <v>0.67400080203181389</v>
      </c>
      <c r="AQ5" s="85">
        <f>'Comparables Data'!AI4/'Comparables Data'!AI$3</f>
        <v>0.76358944434942699</v>
      </c>
    </row>
    <row r="6" spans="2:44" x14ac:dyDescent="0.35">
      <c r="B6" s="159" t="str">
        <f>'Data Sheet'!A19</f>
        <v>Change in Inventory</v>
      </c>
      <c r="C6" s="160">
        <f>'Data Sheet'!B19/'Data Sheet'!$B$17</f>
        <v>-4.3423195223448521E-3</v>
      </c>
      <c r="D6" s="160">
        <f>'Data Sheet'!C19/'Data Sheet'!$C$17</f>
        <v>2.0256013504009003E-3</v>
      </c>
      <c r="E6" s="160">
        <f>'Data Sheet'!D19/'Data Sheet'!$D$17</f>
        <v>-3.0526583566522515E-4</v>
      </c>
      <c r="F6" s="160">
        <f>'Data Sheet'!E19/'Data Sheet'!$E$17</f>
        <v>2.7147273961239727E-3</v>
      </c>
      <c r="G6" s="160">
        <f>'Data Sheet'!F19/'Data Sheet'!$F$17</f>
        <v>8.6118907884664454E-3</v>
      </c>
      <c r="H6" s="160">
        <f>'Data Sheet'!G19/'Data Sheet'!$G$17</f>
        <v>4.1947908324753078E-4</v>
      </c>
      <c r="I6" s="160">
        <f>'Data Sheet'!H19/'Data Sheet'!$H$17</f>
        <v>1.2380323539121821E-3</v>
      </c>
      <c r="J6" s="160">
        <f>'Data Sheet'!I19/'Data Sheet'!$I$17</f>
        <v>1.7771746154840378E-4</v>
      </c>
      <c r="K6" s="160">
        <f>'Data Sheet'!J19/'Data Sheet'!$J$17</f>
        <v>2.0382207148447692E-3</v>
      </c>
      <c r="L6" s="160">
        <f>'Data Sheet'!K19/'Data Sheet'!$K$17</f>
        <v>6.6544642303158156E-3</v>
      </c>
      <c r="N6" s="35" t="str">
        <f>'Comparables Data'!A5</f>
        <v>Change in Inventory</v>
      </c>
      <c r="O6" s="104">
        <f>'Comparables Data'!B5/'Comparables Data'!B$3</f>
        <v>-1.3855582263208599E-2</v>
      </c>
      <c r="P6" s="104">
        <f>'Comparables Data'!C5/'Comparables Data'!C$3</f>
        <v>-2.3654432075903346E-2</v>
      </c>
      <c r="Q6" s="104">
        <f>'Comparables Data'!D5/'Comparables Data'!D$3</f>
        <v>4.2033877828479265E-3</v>
      </c>
      <c r="R6" s="104">
        <f>'Comparables Data'!E5/'Comparables Data'!E$3</f>
        <v>1.4236945636261661E-2</v>
      </c>
      <c r="S6" s="104">
        <f>'Comparables Data'!F5/'Comparables Data'!F$3</f>
        <v>1.3099947317613884E-2</v>
      </c>
      <c r="T6" s="104">
        <f>'Comparables Data'!G5/'Comparables Data'!G$3</f>
        <v>1.1311818013624969E-2</v>
      </c>
      <c r="U6" s="104">
        <f>'Comparables Data'!H5/'Comparables Data'!H$3</f>
        <v>5.0563297326542671E-3</v>
      </c>
      <c r="V6" s="104">
        <f>'Comparables Data'!I5/'Comparables Data'!I$3</f>
        <v>5.4138009307551057E-3</v>
      </c>
      <c r="W6" s="104">
        <f>'Comparables Data'!J5/'Comparables Data'!J$3</f>
        <v>9.6338000943665004E-3</v>
      </c>
      <c r="X6" s="104">
        <f>'Comparables Data'!K5/'Comparables Data'!K$3</f>
        <v>3.233817346364324E-2</v>
      </c>
      <c r="Z6" s="35" t="str">
        <f>'Comparables Data'!M5</f>
        <v>Change in Inventory</v>
      </c>
      <c r="AA6" s="85">
        <f>'Comparables Data'!P5/'Comparables Data'!P$3</f>
        <v>1.4636823809233396E-2</v>
      </c>
      <c r="AB6" s="85">
        <f>'Comparables Data'!Q5/'Comparables Data'!Q$3</f>
        <v>3.9396294856846745E-2</v>
      </c>
      <c r="AC6" s="85">
        <f>'Comparables Data'!R5/'Comparables Data'!R$3</f>
        <v>6.6794099614094571E-3</v>
      </c>
      <c r="AD6" s="85">
        <f>'Comparables Data'!S5/'Comparables Data'!S$3</f>
        <v>1.7494240478407922E-2</v>
      </c>
      <c r="AE6" s="85">
        <f>'Comparables Data'!T5/'Comparables Data'!T$3</f>
        <v>5.465469395295847E-3</v>
      </c>
      <c r="AF6" s="85">
        <f>'Comparables Data'!U5/'Comparables Data'!U$3</f>
        <v>2.171916463075968E-2</v>
      </c>
      <c r="AG6" s="85">
        <f>'Comparables Data'!V5/'Comparables Data'!V$3</f>
        <v>1.0604929889630172E-2</v>
      </c>
      <c r="AH6" s="85">
        <f>'Comparables Data'!W5/'Comparables Data'!W$3</f>
        <v>5.1399187022469796E-3</v>
      </c>
      <c r="AJ6" s="35" t="str">
        <f>'Comparables Data'!Y5</f>
        <v>Change in Inventory</v>
      </c>
      <c r="AK6" s="85">
        <f>'Comparables Data'!AC5/'Comparables Data'!AC$3</f>
        <v>-0.12483980399547681</v>
      </c>
      <c r="AL6" s="85">
        <f>'Comparables Data'!AD5/'Comparables Data'!AD$3</f>
        <v>2.4503143345663999E-2</v>
      </c>
      <c r="AM6" s="85">
        <f>'Comparables Data'!AE5/'Comparables Data'!AE$3</f>
        <v>2.439597492848038E-2</v>
      </c>
      <c r="AN6" s="85">
        <f>'Comparables Data'!AF5/'Comparables Data'!AF$3</f>
        <v>-2.9935126495887705E-2</v>
      </c>
      <c r="AO6" s="85">
        <f>'Comparables Data'!AG5/'Comparables Data'!AG$3</f>
        <v>0.21843632720093439</v>
      </c>
      <c r="AP6" s="85">
        <f>'Comparables Data'!AH5/'Comparables Data'!AH$3</f>
        <v>-6.6627456222430159E-2</v>
      </c>
      <c r="AQ6" s="85">
        <f>'Comparables Data'!AI5/'Comparables Data'!AI$3</f>
        <v>4.595712144229705E-2</v>
      </c>
    </row>
    <row r="7" spans="2:44" x14ac:dyDescent="0.35">
      <c r="B7" s="159" t="str">
        <f>'Data Sheet'!A20</f>
        <v>Power and Fuel</v>
      </c>
      <c r="C7" s="160">
        <f>'Data Sheet'!B20/'Data Sheet'!$B$17</f>
        <v>8.8957240214703574E-3</v>
      </c>
      <c r="D7" s="160">
        <f>'Data Sheet'!C20/'Data Sheet'!$C$17</f>
        <v>8.2993388662259103E-3</v>
      </c>
      <c r="E7" s="160">
        <f>'Data Sheet'!D20/'Data Sheet'!$D$17</f>
        <v>7.8351564487407783E-3</v>
      </c>
      <c r="F7" s="160">
        <f>'Data Sheet'!E20/'Data Sheet'!$E$17</f>
        <v>7.5157730688987755E-3</v>
      </c>
      <c r="G7" s="160">
        <f>'Data Sheet'!F20/'Data Sheet'!$F$17</f>
        <v>7.2084715488645061E-3</v>
      </c>
      <c r="H7" s="160">
        <f>'Data Sheet'!G20/'Data Sheet'!$G$17</f>
        <v>6.0633794760324902E-3</v>
      </c>
      <c r="I7" s="160">
        <f>'Data Sheet'!H20/'Data Sheet'!$H$17</f>
        <v>6.3387256520303732E-3</v>
      </c>
      <c r="J7" s="160">
        <f>'Data Sheet'!I20/'Data Sheet'!$I$17</f>
        <v>7.2056352591443711E-3</v>
      </c>
      <c r="K7" s="160">
        <f>'Data Sheet'!J20/'Data Sheet'!$J$17</f>
        <v>6.5712235846595354E-3</v>
      </c>
      <c r="L7" s="160">
        <f>'Data Sheet'!K20/'Data Sheet'!$K$17</f>
        <v>6.6079295154185024E-3</v>
      </c>
      <c r="N7" s="35" t="str">
        <f>'Comparables Data'!A6</f>
        <v>Power and Fuel</v>
      </c>
      <c r="O7" s="104">
        <f>'Comparables Data'!B6/'Comparables Data'!B$3</f>
        <v>1.366291304632479E-2</v>
      </c>
      <c r="P7" s="104">
        <f>'Comparables Data'!C6/'Comparables Data'!C$3</f>
        <v>1.5040643108899779E-2</v>
      </c>
      <c r="Q7" s="104">
        <f>'Comparables Data'!D6/'Comparables Data'!D$3</f>
        <v>1.544758973909165E-2</v>
      </c>
      <c r="R7" s="104">
        <f>'Comparables Data'!E6/'Comparables Data'!E$3</f>
        <v>1.5810616813498098E-2</v>
      </c>
      <c r="S7" s="104">
        <f>'Comparables Data'!F6/'Comparables Data'!F$3</f>
        <v>1.4202115619058639E-2</v>
      </c>
      <c r="T7" s="104">
        <f>'Comparables Data'!G6/'Comparables Data'!G$3</f>
        <v>1.4671889670529284E-2</v>
      </c>
      <c r="U7" s="104">
        <f>'Comparables Data'!H6/'Comparables Data'!H$3</f>
        <v>1.7376718209484814E-2</v>
      </c>
      <c r="V7" s="104">
        <f>'Comparables Data'!I6/'Comparables Data'!I$3</f>
        <v>1.4027274946071023E-2</v>
      </c>
      <c r="W7" s="104">
        <f>'Comparables Data'!J6/'Comparables Data'!J$3</f>
        <v>1.2948841620671628E-2</v>
      </c>
      <c r="X7" s="104">
        <f>'Comparables Data'!K6/'Comparables Data'!K$3</f>
        <v>0</v>
      </c>
      <c r="Z7" s="35" t="str">
        <f>'Comparables Data'!M6</f>
        <v>Power and Fuel</v>
      </c>
      <c r="AA7" s="85">
        <f>'Comparables Data'!P6/'Comparables Data'!P$3</f>
        <v>1.7930109166310909E-2</v>
      </c>
      <c r="AB7" s="85">
        <f>'Comparables Data'!Q6/'Comparables Data'!Q$3</f>
        <v>1.2488664334758389E-2</v>
      </c>
      <c r="AC7" s="85">
        <f>'Comparables Data'!R6/'Comparables Data'!R$3</f>
        <v>9.593536985609696E-3</v>
      </c>
      <c r="AD7" s="85">
        <f>'Comparables Data'!S6/'Comparables Data'!S$3</f>
        <v>1.0112249399539239E-2</v>
      </c>
      <c r="AE7" s="85">
        <f>'Comparables Data'!T6/'Comparables Data'!T$3</f>
        <v>1.2162593865587943E-2</v>
      </c>
      <c r="AF7" s="85">
        <f>'Comparables Data'!U6/'Comparables Data'!U$3</f>
        <v>1.4491543574459744E-2</v>
      </c>
      <c r="AG7" s="85">
        <f>'Comparables Data'!V6/'Comparables Data'!V$3</f>
        <v>1.7399940522615433E-2</v>
      </c>
      <c r="AH7" s="85">
        <f>'Comparables Data'!W6/'Comparables Data'!W$3</f>
        <v>0</v>
      </c>
      <c r="AJ7" s="35" t="str">
        <f>'Comparables Data'!Y6</f>
        <v>Power and Fuel</v>
      </c>
      <c r="AK7" s="85">
        <f>'Comparables Data'!AC6/'Comparables Data'!AC$3</f>
        <v>5.3969776924922039E-2</v>
      </c>
      <c r="AL7" s="85">
        <f>'Comparables Data'!AD6/'Comparables Data'!AD$3</f>
        <v>5.4473822789418598E-2</v>
      </c>
      <c r="AM7" s="85">
        <f>'Comparables Data'!AE6/'Comparables Data'!AE$3</f>
        <v>5.859028507986113E-2</v>
      </c>
      <c r="AN7" s="85">
        <f>'Comparables Data'!AF6/'Comparables Data'!AF$3</f>
        <v>7.2547141247536834E-2</v>
      </c>
      <c r="AO7" s="85">
        <f>'Comparables Data'!AG6/'Comparables Data'!AG$3</f>
        <v>4.7507811249384878E-2</v>
      </c>
      <c r="AP7" s="85">
        <f>'Comparables Data'!AH6/'Comparables Data'!AH$3</f>
        <v>3.8358508220826093E-2</v>
      </c>
      <c r="AQ7" s="85">
        <f>'Comparables Data'!AI6/'Comparables Data'!AI$3</f>
        <v>0</v>
      </c>
    </row>
    <row r="8" spans="2:44" x14ac:dyDescent="0.35">
      <c r="B8" s="159" t="str">
        <f>'Data Sheet'!A21</f>
        <v>Other Mfr. Exp</v>
      </c>
      <c r="C8" s="160">
        <f>'Data Sheet'!B21/'Data Sheet'!$B$17</f>
        <v>8.7057475423677699E-2</v>
      </c>
      <c r="D8" s="160">
        <f>'Data Sheet'!C21/'Data Sheet'!$C$17</f>
        <v>8.4343789562526375E-2</v>
      </c>
      <c r="E8" s="160">
        <f>'Data Sheet'!D21/'Data Sheet'!$D$17</f>
        <v>7.7359450521495801E-2</v>
      </c>
      <c r="F8" s="160">
        <f>'Data Sheet'!E21/'Data Sheet'!$E$17</f>
        <v>7.3046276047558006E-2</v>
      </c>
      <c r="G8" s="160">
        <f>'Data Sheet'!F21/'Data Sheet'!$F$17</f>
        <v>6.0984945139066091E-2</v>
      </c>
      <c r="H8" s="160">
        <f>'Data Sheet'!G21/'Data Sheet'!$G$17</f>
        <v>6.3951492964191739E-2</v>
      </c>
      <c r="I8" s="160">
        <f>'Data Sheet'!H21/'Data Sheet'!$H$17</f>
        <v>6.2578408715747769E-2</v>
      </c>
      <c r="J8" s="160">
        <f>'Data Sheet'!I21/'Data Sheet'!$I$17</f>
        <v>5.4688509758304249E-2</v>
      </c>
      <c r="K8" s="160">
        <f>'Data Sheet'!J21/'Data Sheet'!$J$17</f>
        <v>6.0119358205061313E-2</v>
      </c>
      <c r="L8" s="160">
        <f>'Data Sheet'!K21/'Data Sheet'!$K$17</f>
        <v>5.1250232673574488E-2</v>
      </c>
      <c r="N8" s="35" t="str">
        <f>'Comparables Data'!A7</f>
        <v>Other Mfr. Exp</v>
      </c>
      <c r="O8" s="104">
        <f>'Comparables Data'!B7/'Comparables Data'!B$3</f>
        <v>3.9373263872651262E-2</v>
      </c>
      <c r="P8" s="104">
        <f>'Comparables Data'!C7/'Comparables Data'!C$3</f>
        <v>3.9071609111752781E-2</v>
      </c>
      <c r="Q8" s="104">
        <f>'Comparables Data'!D7/'Comparables Data'!D$3</f>
        <v>3.8705549365550963E-2</v>
      </c>
      <c r="R8" s="104">
        <f>'Comparables Data'!E7/'Comparables Data'!E$3</f>
        <v>3.8638972861663935E-2</v>
      </c>
      <c r="S8" s="104">
        <f>'Comparables Data'!F7/'Comparables Data'!F$3</f>
        <v>3.2222130865483298E-2</v>
      </c>
      <c r="T8" s="104">
        <f>'Comparables Data'!G7/'Comparables Data'!G$3</f>
        <v>3.1126792288308232E-2</v>
      </c>
      <c r="U8" s="104">
        <f>'Comparables Data'!H7/'Comparables Data'!H$3</f>
        <v>3.2823347978673707E-2</v>
      </c>
      <c r="V8" s="104">
        <f>'Comparables Data'!I7/'Comparables Data'!I$3</f>
        <v>3.2146292303738125E-2</v>
      </c>
      <c r="W8" s="104">
        <f>'Comparables Data'!J7/'Comparables Data'!J$3</f>
        <v>3.1137227849959922E-2</v>
      </c>
      <c r="X8" s="104">
        <f>'Comparables Data'!K7/'Comparables Data'!K$3</f>
        <v>0</v>
      </c>
      <c r="Z8" s="35" t="str">
        <f>'Comparables Data'!M7</f>
        <v>Other Mfr. Exp</v>
      </c>
      <c r="AA8" s="85">
        <f>'Comparables Data'!P7/'Comparables Data'!P$3</f>
        <v>0.16541643796629465</v>
      </c>
      <c r="AB8" s="85">
        <f>'Comparables Data'!Q7/'Comparables Data'!Q$3</f>
        <v>0.15750744915144449</v>
      </c>
      <c r="AC8" s="85">
        <f>'Comparables Data'!R7/'Comparables Data'!R$3</f>
        <v>0.13179932917372958</v>
      </c>
      <c r="AD8" s="85">
        <f>'Comparables Data'!S7/'Comparables Data'!S$3</f>
        <v>0.14506151659232391</v>
      </c>
      <c r="AE8" s="85">
        <f>'Comparables Data'!T7/'Comparables Data'!T$3</f>
        <v>0.20172970559594786</v>
      </c>
      <c r="AF8" s="85">
        <f>'Comparables Data'!U7/'Comparables Data'!U$3</f>
        <v>0.19254658385093165</v>
      </c>
      <c r="AG8" s="85">
        <f>'Comparables Data'!V7/'Comparables Data'!V$3</f>
        <v>0.18143127275991899</v>
      </c>
      <c r="AH8" s="85">
        <f>'Comparables Data'!W7/'Comparables Data'!W$3</f>
        <v>0</v>
      </c>
      <c r="AJ8" s="35" t="str">
        <f>'Comparables Data'!Y7</f>
        <v>Other Mfr. Exp</v>
      </c>
      <c r="AK8" s="85">
        <f>'Comparables Data'!AC7/'Comparables Data'!AC$3</f>
        <v>4.5711544392283178E-2</v>
      </c>
      <c r="AL8" s="85">
        <f>'Comparables Data'!AD7/'Comparables Data'!AD$3</f>
        <v>4.9760429601409466E-2</v>
      </c>
      <c r="AM8" s="85">
        <f>'Comparables Data'!AE7/'Comparables Data'!AE$3</f>
        <v>5.3655871658256631E-2</v>
      </c>
      <c r="AN8" s="85">
        <f>'Comparables Data'!AF7/'Comparables Data'!AF$3</f>
        <v>5.2479537794896489E-2</v>
      </c>
      <c r="AO8" s="85">
        <f>'Comparables Data'!AG7/'Comparables Data'!AG$3</f>
        <v>5.838723638886089E-2</v>
      </c>
      <c r="AP8" s="85">
        <f>'Comparables Data'!AH7/'Comparables Data'!AH$3</f>
        <v>5.2955487234326963E-2</v>
      </c>
      <c r="AQ8" s="85">
        <f>'Comparables Data'!AI7/'Comparables Data'!AI$3</f>
        <v>0</v>
      </c>
    </row>
    <row r="9" spans="2:44" x14ac:dyDescent="0.35">
      <c r="B9" s="159" t="str">
        <f>'Data Sheet'!A22</f>
        <v>Employee Cost</v>
      </c>
      <c r="C9" s="160">
        <f>'Data Sheet'!B22/'Data Sheet'!$B$17</f>
        <v>5.2560159218382488E-2</v>
      </c>
      <c r="D9" s="160">
        <f>'Data Sheet'!C22/'Data Sheet'!$C$17</f>
        <v>5.2328034885356589E-2</v>
      </c>
      <c r="E9" s="160">
        <f>'Data Sheet'!D22/'Data Sheet'!$D$17</f>
        <v>4.7697786822691428E-2</v>
      </c>
      <c r="F9" s="160">
        <f>'Data Sheet'!E22/'Data Sheet'!$E$17</f>
        <v>4.574818389764472E-2</v>
      </c>
      <c r="G9" s="160">
        <f>'Data Sheet'!F22/'Data Sheet'!$F$17</f>
        <v>5.0140341923960191E-2</v>
      </c>
      <c r="H9" s="160">
        <f>'Data Sheet'!G22/'Data Sheet'!$G$17</f>
        <v>4.8526103039316627E-2</v>
      </c>
      <c r="I9" s="160">
        <f>'Data Sheet'!H22/'Data Sheet'!$H$17</f>
        <v>4.7111257840871577E-2</v>
      </c>
      <c r="J9" s="160">
        <f>'Data Sheet'!I22/'Data Sheet'!$I$17</f>
        <v>4.8613803799922452E-2</v>
      </c>
      <c r="K9" s="160">
        <f>'Data Sheet'!J22/'Data Sheet'!$J$17</f>
        <v>4.8134620401774068E-2</v>
      </c>
      <c r="L9" s="160">
        <f>'Data Sheet'!K22/'Data Sheet'!$K$17</f>
        <v>4.9249239932990012E-2</v>
      </c>
      <c r="N9" s="35" t="str">
        <f>'Comparables Data'!A8</f>
        <v>Employee Cost</v>
      </c>
      <c r="O9" s="104">
        <f>'Comparables Data'!B8/'Comparables Data'!B$3</f>
        <v>8.4917788232213173E-2</v>
      </c>
      <c r="P9" s="104">
        <f>'Comparables Data'!C8/'Comparables Data'!C$3</f>
        <v>8.6559073708127279E-2</v>
      </c>
      <c r="Q9" s="104">
        <f>'Comparables Data'!D8/'Comparables Data'!D$3</f>
        <v>8.6427726513138917E-2</v>
      </c>
      <c r="R9" s="104">
        <f>'Comparables Data'!E8/'Comparables Data'!E$3</f>
        <v>8.6980968945709156E-2</v>
      </c>
      <c r="S9" s="104">
        <f>'Comparables Data'!F8/'Comparables Data'!F$3</f>
        <v>9.0612283015056611E-2</v>
      </c>
      <c r="T9" s="104">
        <f>'Comparables Data'!G8/'Comparables Data'!G$3</f>
        <v>8.0642874032847811E-2</v>
      </c>
      <c r="U9" s="104">
        <f>'Comparables Data'!H8/'Comparables Data'!H$3</f>
        <v>8.0884073005510662E-2</v>
      </c>
      <c r="V9" s="104">
        <f>'Comparables Data'!I8/'Comparables Data'!I$3</f>
        <v>8.167777925965311E-2</v>
      </c>
      <c r="W9" s="104">
        <f>'Comparables Data'!J8/'Comparables Data'!J$3</f>
        <v>8.1910600353091084E-2</v>
      </c>
      <c r="X9" s="104">
        <f>'Comparables Data'!K8/'Comparables Data'!K$3</f>
        <v>8.5985007937272734E-2</v>
      </c>
      <c r="Z9" s="35" t="str">
        <f>'Comparables Data'!M8</f>
        <v>Employee Cost</v>
      </c>
      <c r="AA9" s="85">
        <f>'Comparables Data'!P8/'Comparables Data'!P$3</f>
        <v>3.7689821308775989E-2</v>
      </c>
      <c r="AB9" s="85">
        <f>'Comparables Data'!Q8/'Comparables Data'!Q$3</f>
        <v>3.1493716802694652E-2</v>
      </c>
      <c r="AC9" s="85">
        <f>'Comparables Data'!R8/'Comparables Data'!R$3</f>
        <v>2.2130053738233492E-2</v>
      </c>
      <c r="AD9" s="85">
        <f>'Comparables Data'!S8/'Comparables Data'!S$3</f>
        <v>2.0048036860938191E-2</v>
      </c>
      <c r="AE9" s="85">
        <f>'Comparables Data'!T8/'Comparables Data'!T$3</f>
        <v>2.1473136448137697E-2</v>
      </c>
      <c r="AF9" s="85">
        <f>'Comparables Data'!U8/'Comparables Data'!U$3</f>
        <v>3.0075761150901544E-2</v>
      </c>
      <c r="AG9" s="85">
        <f>'Comparables Data'!V8/'Comparables Data'!V$3</f>
        <v>6.2451253794488799E-2</v>
      </c>
      <c r="AH9" s="85">
        <f>'Comparables Data'!W8/'Comparables Data'!W$3</f>
        <v>5.9399582219880308E-2</v>
      </c>
      <c r="AJ9" s="35" t="str">
        <f>'Comparables Data'!Y8</f>
        <v>Employee Cost</v>
      </c>
      <c r="AK9" s="85">
        <f>'Comparables Data'!AC8/'Comparables Data'!AC$3</f>
        <v>5.7883014083541781E-2</v>
      </c>
      <c r="AL9" s="85">
        <f>'Comparables Data'!AD8/'Comparables Data'!AD$3</f>
        <v>5.5774069186110768E-2</v>
      </c>
      <c r="AM9" s="85">
        <f>'Comparables Data'!AE8/'Comparables Data'!AE$3</f>
        <v>5.8513919157860111E-2</v>
      </c>
      <c r="AN9" s="85">
        <f>'Comparables Data'!AF8/'Comparables Data'!AF$3</f>
        <v>5.7984106736023902E-2</v>
      </c>
      <c r="AO9" s="85">
        <f>'Comparables Data'!AG8/'Comparables Data'!AG$3</f>
        <v>7.0227133938470479E-2</v>
      </c>
      <c r="AP9" s="85">
        <f>'Comparables Data'!AH8/'Comparables Data'!AH$3</f>
        <v>6.7215612885977813E-2</v>
      </c>
      <c r="AQ9" s="85">
        <f>'Comparables Data'!AI8/'Comparables Data'!AI$3</f>
        <v>6.8020161574292984E-2</v>
      </c>
    </row>
    <row r="10" spans="2:44" x14ac:dyDescent="0.35">
      <c r="B10" s="159" t="str">
        <f>'Data Sheet'!A23</f>
        <v>Selling and admin</v>
      </c>
      <c r="C10" s="160">
        <f>'Data Sheet'!B23/'Data Sheet'!$B$17</f>
        <v>0.20170677281225499</v>
      </c>
      <c r="D10" s="160">
        <f>'Data Sheet'!C23/'Data Sheet'!$C$17</f>
        <v>0.20402306934871289</v>
      </c>
      <c r="E10" s="160">
        <f>'Data Sheet'!D23/'Data Sheet'!$D$17</f>
        <v>0.19832103790384126</v>
      </c>
      <c r="F10" s="160">
        <f>'Data Sheet'!E23/'Data Sheet'!$E$17</f>
        <v>0.19153909961541363</v>
      </c>
      <c r="G10" s="160">
        <f>'Data Sheet'!F23/'Data Sheet'!$F$17</f>
        <v>0.16811261376201411</v>
      </c>
      <c r="H10" s="160">
        <f>'Data Sheet'!G23/'Data Sheet'!$G$17</f>
        <v>0.15566487434694734</v>
      </c>
      <c r="I10" s="160">
        <f>'Data Sheet'!H23/'Data Sheet'!$H$17</f>
        <v>0.14501485638824696</v>
      </c>
      <c r="J10" s="160">
        <f>'Data Sheet'!I23/'Data Sheet'!$I$17</f>
        <v>0.1741631123174357</v>
      </c>
      <c r="K10" s="160">
        <f>'Data Sheet'!J23/'Data Sheet'!$J$17</f>
        <v>0.16542199321680146</v>
      </c>
      <c r="L10" s="160">
        <f>'Data Sheet'!K23/'Data Sheet'!$K$17</f>
        <v>0.16665632561891172</v>
      </c>
      <c r="N10" s="35" t="str">
        <f>'Comparables Data'!A9</f>
        <v>Selling and admin</v>
      </c>
      <c r="O10" s="104">
        <f>'Comparables Data'!B9/'Comparables Data'!B$3</f>
        <v>9.7731460264312231E-2</v>
      </c>
      <c r="P10" s="104">
        <f>'Comparables Data'!C9/'Comparables Data'!C$3</f>
        <v>9.1023394356686257E-2</v>
      </c>
      <c r="Q10" s="104">
        <f>'Comparables Data'!D9/'Comparables Data'!D$3</f>
        <v>9.4051086087218794E-2</v>
      </c>
      <c r="R10" s="104">
        <f>'Comparables Data'!E9/'Comparables Data'!E$3</f>
        <v>9.088558487234677E-2</v>
      </c>
      <c r="S10" s="104">
        <f>'Comparables Data'!F9/'Comparables Data'!F$3</f>
        <v>8.6012775732401917E-2</v>
      </c>
      <c r="T10" s="104">
        <f>'Comparables Data'!G9/'Comparables Data'!G$3</f>
        <v>8.0112405832412942E-2</v>
      </c>
      <c r="U10" s="104">
        <f>'Comparables Data'!H9/'Comparables Data'!H$3</f>
        <v>7.9020821350771431E-2</v>
      </c>
      <c r="V10" s="104">
        <f>'Comparables Data'!I9/'Comparables Data'!I$3</f>
        <v>7.8202536244364573E-2</v>
      </c>
      <c r="W10" s="104">
        <f>'Comparables Data'!J9/'Comparables Data'!J$3</f>
        <v>7.691228243463448E-2</v>
      </c>
      <c r="X10" s="104">
        <f>'Comparables Data'!K9/'Comparables Data'!K$3</f>
        <v>0</v>
      </c>
      <c r="Z10" s="35" t="str">
        <f>'Comparables Data'!M9</f>
        <v>Selling and admin</v>
      </c>
      <c r="AA10" s="85">
        <f>'Comparables Data'!P9/'Comparables Data'!P$3</f>
        <v>2.6325953934662843E-2</v>
      </c>
      <c r="AB10" s="85">
        <f>'Comparables Data'!Q9/'Comparables Data'!Q$3</f>
        <v>1.8551625858271796E-2</v>
      </c>
      <c r="AC10" s="85">
        <f>'Comparables Data'!R9/'Comparables Data'!R$3</f>
        <v>1.2788978252245104E-2</v>
      </c>
      <c r="AD10" s="85">
        <f>'Comparables Data'!S9/'Comparables Data'!S$3</f>
        <v>1.1200431351404343E-2</v>
      </c>
      <c r="AE10" s="85">
        <f>'Comparables Data'!T9/'Comparables Data'!T$3</f>
        <v>1.0180398979265856E-2</v>
      </c>
      <c r="AF10" s="85">
        <f>'Comparables Data'!U9/'Comparables Data'!U$3</f>
        <v>1.3050375538622941E-2</v>
      </c>
      <c r="AG10" s="85">
        <f>'Comparables Data'!V9/'Comparables Data'!V$3</f>
        <v>1.7742216037571753E-2</v>
      </c>
      <c r="AH10" s="85">
        <f>'Comparables Data'!W9/'Comparables Data'!W$3</f>
        <v>0</v>
      </c>
      <c r="AJ10" s="35" t="str">
        <f>'Comparables Data'!Y9</f>
        <v>Selling and admin</v>
      </c>
      <c r="AK10" s="85">
        <f>'Comparables Data'!AC9/'Comparables Data'!AC$3</f>
        <v>3.4814789432203674E-2</v>
      </c>
      <c r="AL10" s="85">
        <f>'Comparables Data'!AD9/'Comparables Data'!AD$3</f>
        <v>4.4377409519103871E-2</v>
      </c>
      <c r="AM10" s="85">
        <f>'Comparables Data'!AE9/'Comparables Data'!AE$3</f>
        <v>4.8727332538344506E-2</v>
      </c>
      <c r="AN10" s="85">
        <f>'Comparables Data'!AF9/'Comparables Data'!AF$3</f>
        <v>5.607314276638093E-2</v>
      </c>
      <c r="AO10" s="85">
        <f>'Comparables Data'!AG9/'Comparables Data'!AG$3</f>
        <v>4.627461210550967E-2</v>
      </c>
      <c r="AP10" s="85">
        <f>'Comparables Data'!AH9/'Comparables Data'!AH$3</f>
        <v>4.388183397941451E-2</v>
      </c>
      <c r="AQ10" s="85">
        <f>'Comparables Data'!AI9/'Comparables Data'!AI$3</f>
        <v>0</v>
      </c>
    </row>
    <row r="11" spans="2:44" x14ac:dyDescent="0.35">
      <c r="B11" s="159" t="str">
        <f>'Data Sheet'!A24</f>
        <v>Other Expenses</v>
      </c>
      <c r="C11" s="160">
        <f>'Data Sheet'!B24/'Data Sheet'!$B$17</f>
        <v>4.4327845123937039E-2</v>
      </c>
      <c r="D11" s="160">
        <f>'Data Sheet'!C24/'Data Sheet'!$C$17</f>
        <v>4.1637361091574059E-2</v>
      </c>
      <c r="E11" s="160">
        <f>'Data Sheet'!D24/'Data Sheet'!$D$17</f>
        <v>3.9506486899007889E-2</v>
      </c>
      <c r="F11" s="160">
        <f>'Data Sheet'!E24/'Data Sheet'!$E$17</f>
        <v>4.2430183746826534E-2</v>
      </c>
      <c r="G11" s="160">
        <f>'Data Sheet'!F24/'Data Sheet'!$F$17</f>
        <v>4.6674321680700862E-2</v>
      </c>
      <c r="H11" s="160">
        <f>'Data Sheet'!G24/'Data Sheet'!$G$17</f>
        <v>4.4979598062769327E-2</v>
      </c>
      <c r="I11" s="160">
        <f>'Data Sheet'!H24/'Data Sheet'!$H$17</f>
        <v>3.742159128425223E-2</v>
      </c>
      <c r="J11" s="160">
        <f>'Data Sheet'!I24/'Data Sheet'!$I$17</f>
        <v>4.5334108827711002E-2</v>
      </c>
      <c r="K11" s="160">
        <f>'Data Sheet'!J24/'Data Sheet'!$J$17</f>
        <v>4.8362901121836679E-2</v>
      </c>
      <c r="L11" s="160">
        <f>'Data Sheet'!K24/'Data Sheet'!$K$17</f>
        <v>4.7325805050567722E-2</v>
      </c>
      <c r="N11" s="35" t="str">
        <f>'Comparables Data'!A10</f>
        <v>Other Expenses</v>
      </c>
      <c r="O11" s="104">
        <f>'Comparables Data'!B10/'Comparables Data'!B$3</f>
        <v>2.7339153938963141E-2</v>
      </c>
      <c r="P11" s="104">
        <f>'Comparables Data'!C10/'Comparables Data'!C$3</f>
        <v>2.3153154024010712E-2</v>
      </c>
      <c r="Q11" s="104">
        <f>'Comparables Data'!D10/'Comparables Data'!D$3</f>
        <v>2.1511357773484997E-2</v>
      </c>
      <c r="R11" s="104">
        <f>'Comparables Data'!E10/'Comparables Data'!E$3</f>
        <v>2.4806378916207884E-2</v>
      </c>
      <c r="S11" s="104">
        <f>'Comparables Data'!F10/'Comparables Data'!F$3</f>
        <v>2.1811725941964111E-2</v>
      </c>
      <c r="T11" s="104">
        <f>'Comparables Data'!G10/'Comparables Data'!G$3</f>
        <v>1.8302554525106464E-2</v>
      </c>
      <c r="U11" s="104">
        <f>'Comparables Data'!H10/'Comparables Data'!H$3</f>
        <v>1.8451465001706874E-2</v>
      </c>
      <c r="V11" s="104">
        <f>'Comparables Data'!I10/'Comparables Data'!I$3</f>
        <v>2.5996166162779982E-2</v>
      </c>
      <c r="W11" s="104">
        <f>'Comparables Data'!J10/'Comparables Data'!J$3</f>
        <v>2.9491390052538827E-2</v>
      </c>
      <c r="X11" s="104">
        <f>'Comparables Data'!K10/'Comparables Data'!K$3</f>
        <v>0.15495572371190491</v>
      </c>
      <c r="Z11" s="35" t="str">
        <f>'Comparables Data'!M10</f>
        <v>Other Expenses</v>
      </c>
      <c r="AA11" s="85">
        <f>'Comparables Data'!P10/'Comparables Data'!P$3</f>
        <v>7.257425138744892E-3</v>
      </c>
      <c r="AB11" s="85">
        <f>'Comparables Data'!Q10/'Comparables Data'!Q$3</f>
        <v>3.3812670034978625E-3</v>
      </c>
      <c r="AC11" s="85">
        <f>'Comparables Data'!R10/'Comparables Data'!R$3</f>
        <v>3.4623291376636492E-3</v>
      </c>
      <c r="AD11" s="85">
        <f>'Comparables Data'!S10/'Comparables Data'!S$3</f>
        <v>2.9508357433459145E-3</v>
      </c>
      <c r="AE11" s="85">
        <f>'Comparables Data'!T10/'Comparables Data'!T$3</f>
        <v>1.6781300396823871E-3</v>
      </c>
      <c r="AF11" s="85">
        <f>'Comparables Data'!U10/'Comparables Data'!U$3</f>
        <v>2.9549389953933448E-3</v>
      </c>
      <c r="AG11" s="85">
        <f>'Comparables Data'!V10/'Comparables Data'!V$3</f>
        <v>2.3931230676863856E-3</v>
      </c>
      <c r="AH11" s="85">
        <f>'Comparables Data'!W10/'Comparables Data'!W$3</f>
        <v>7.2410516014904586E-2</v>
      </c>
      <c r="AJ11" s="35" t="str">
        <f>'Comparables Data'!Y10</f>
        <v>Other Expenses</v>
      </c>
      <c r="AK11" s="85">
        <f>'Comparables Data'!AC10/'Comparables Data'!AC$3</f>
        <v>2.2410307370729532E-3</v>
      </c>
      <c r="AL11" s="85">
        <f>'Comparables Data'!AD10/'Comparables Data'!AD$3</f>
        <v>5.8056001612305525E-3</v>
      </c>
      <c r="AM11" s="85">
        <f>'Comparables Data'!AE10/'Comparables Data'!AE$3</f>
        <v>3.5539525238937222E-3</v>
      </c>
      <c r="AN11" s="85">
        <f>'Comparables Data'!AF10/'Comparables Data'!AF$3</f>
        <v>7.6934913063548237E-4</v>
      </c>
      <c r="AO11" s="85">
        <f>'Comparables Data'!AG10/'Comparables Data'!AG$3</f>
        <v>4.5652083691534207E-4</v>
      </c>
      <c r="AP11" s="85">
        <f>'Comparables Data'!AH10/'Comparables Data'!AH$3</f>
        <v>1.4115759925143697E-3</v>
      </c>
      <c r="AQ11" s="85">
        <f>'Comparables Data'!AI10/'Comparables Data'!AI$3</f>
        <v>0.15040192359930379</v>
      </c>
    </row>
    <row r="12" spans="2:44" x14ac:dyDescent="0.35">
      <c r="B12" s="159" t="str">
        <f>'Data Sheet'!A25</f>
        <v>Other Income</v>
      </c>
      <c r="C12" s="160">
        <f>'Data Sheet'!B25/'Data Sheet'!$B$17</f>
        <v>1.8273927989867923E-2</v>
      </c>
      <c r="D12" s="160">
        <f>'Data Sheet'!C25/'Data Sheet'!$C$17</f>
        <v>9.9310732873821913E-3</v>
      </c>
      <c r="E12" s="160">
        <f>'Data Sheet'!D25/'Data Sheet'!$D$17</f>
        <v>8.1912999236835402E-3</v>
      </c>
      <c r="F12" s="160">
        <f>'Data Sheet'!E25/'Data Sheet'!$E$17</f>
        <v>1.0657818666264484E-2</v>
      </c>
      <c r="G12" s="160">
        <f>'Data Sheet'!F25/'Data Sheet'!$F$17</f>
        <v>3.6148677383686313E-3</v>
      </c>
      <c r="H12" s="160">
        <f>'Data Sheet'!G25/'Data Sheet'!$G$17</f>
        <v>4.1757236014186017E-3</v>
      </c>
      <c r="I12" s="160">
        <f>'Data Sheet'!H25/'Data Sheet'!$H$17</f>
        <v>7.3951799273687686E-3</v>
      </c>
      <c r="J12" s="160">
        <f>'Data Sheet'!I25/'Data Sheet'!$I$17</f>
        <v>1.3199560553185989E-2</v>
      </c>
      <c r="K12" s="160">
        <f>'Data Sheet'!J25/'Data Sheet'!$J$17</f>
        <v>2.2094312548917298E-2</v>
      </c>
      <c r="L12" s="160">
        <f>'Data Sheet'!K25/'Data Sheet'!$K$17</f>
        <v>7.6363467146491282E-2</v>
      </c>
      <c r="N12" s="35" t="str">
        <f>'Comparables Data'!A11</f>
        <v>Other Income</v>
      </c>
      <c r="O12" s="104">
        <f>'Comparables Data'!B11/'Comparables Data'!B$3</f>
        <v>4.1120614670919112E-2</v>
      </c>
      <c r="P12" s="104">
        <f>'Comparables Data'!C11/'Comparables Data'!C$3</f>
        <v>5.1550394555080051E-2</v>
      </c>
      <c r="Q12" s="104">
        <f>'Comparables Data'!D11/'Comparables Data'!D$3</f>
        <v>4.3038023913323203E-2</v>
      </c>
      <c r="R12" s="104">
        <f>'Comparables Data'!E11/'Comparables Data'!E$3</f>
        <v>4.8945790146129507E-2</v>
      </c>
      <c r="S12" s="104">
        <f>'Comparables Data'!F11/'Comparables Data'!F$3</f>
        <v>5.2315944085615476E-2</v>
      </c>
      <c r="T12" s="104">
        <f>'Comparables Data'!G11/'Comparables Data'!G$3</f>
        <v>3.1490386438746173E-2</v>
      </c>
      <c r="U12" s="104">
        <f>'Comparables Data'!H11/'Comparables Data'!H$3</f>
        <v>2.957795672050224E-2</v>
      </c>
      <c r="V12" s="104">
        <f>'Comparables Data'!I11/'Comparables Data'!I$3</f>
        <v>4.9026275416247496E-2</v>
      </c>
      <c r="W12" s="104">
        <f>'Comparables Data'!J11/'Comparables Data'!J$3</f>
        <v>0.23624656049506038</v>
      </c>
      <c r="X12" s="104">
        <f>'Comparables Data'!K11/'Comparables Data'!K$3</f>
        <v>3.1840128619320285E-2</v>
      </c>
      <c r="Z12" s="35" t="str">
        <f>'Comparables Data'!M11</f>
        <v>Other Income</v>
      </c>
      <c r="AA12" s="85">
        <f>'Comparables Data'!P11/'Comparables Data'!P$3</f>
        <v>1.3213799272224593E-3</v>
      </c>
      <c r="AB12" s="85">
        <f>'Comparables Data'!Q11/'Comparables Data'!Q$3</f>
        <v>1.5675605648400052E-3</v>
      </c>
      <c r="AC12" s="85">
        <f>'Comparables Data'!R11/'Comparables Data'!R$3</f>
        <v>1.918707397121939E-3</v>
      </c>
      <c r="AD12" s="85">
        <f>'Comparables Data'!S11/'Comparables Data'!S$3</f>
        <v>1.8087348659379442E-3</v>
      </c>
      <c r="AE12" s="85">
        <f>'Comparables Data'!T11/'Comparables Data'!T$3</f>
        <v>1.735863871322836E-3</v>
      </c>
      <c r="AF12" s="85">
        <f>'Comparables Data'!U11/'Comparables Data'!U$3</f>
        <v>2.6028148153526142E-3</v>
      </c>
      <c r="AG12" s="85">
        <f>'Comparables Data'!V11/'Comparables Data'!V$3</f>
        <v>4.0820563464052653E-3</v>
      </c>
      <c r="AH12" s="85">
        <f>'Comparables Data'!W11/'Comparables Data'!W$3</f>
        <v>2.135947909217509E-3</v>
      </c>
      <c r="AJ12" s="35" t="str">
        <f>'Comparables Data'!Y11</f>
        <v>Other Income</v>
      </c>
      <c r="AK12" s="85">
        <f>'Comparables Data'!AC11/'Comparables Data'!AC$3</f>
        <v>9.3547613336531533E-3</v>
      </c>
      <c r="AL12" s="85">
        <f>'Comparables Data'!AD11/'Comparables Data'!AD$3</f>
        <v>5.3375114584213708E-3</v>
      </c>
      <c r="AM12" s="85">
        <f>'Comparables Data'!AE11/'Comparables Data'!AE$3</f>
        <v>3.7478044797424706E-3</v>
      </c>
      <c r="AN12" s="85">
        <f>'Comparables Data'!AF11/'Comparables Data'!AF$3</f>
        <v>3.5588601720363926E-3</v>
      </c>
      <c r="AO12" s="85">
        <f>'Comparables Data'!AG11/'Comparables Data'!AG$3</f>
        <v>8.4011691676498662E-3</v>
      </c>
      <c r="AP12" s="85">
        <f>'Comparables Data'!AH11/'Comparables Data'!AH$3</f>
        <v>8.7795749231386194E-3</v>
      </c>
      <c r="AQ12" s="85">
        <f>'Comparables Data'!AI11/'Comparables Data'!AI$3</f>
        <v>-9.5224201937684234E-3</v>
      </c>
    </row>
    <row r="13" spans="2:44" x14ac:dyDescent="0.35">
      <c r="B13" s="159" t="str">
        <f>'Data Sheet'!A26</f>
        <v>Depreciation</v>
      </c>
      <c r="C13" s="160">
        <f>'Data Sheet'!B26/'Data Sheet'!$B$17</f>
        <v>1.3026958567034558E-2</v>
      </c>
      <c r="D13" s="160">
        <f>'Data Sheet'!C26/'Data Sheet'!$C$17</f>
        <v>1.4629343086228723E-2</v>
      </c>
      <c r="E13" s="160">
        <f>'Data Sheet'!D26/'Data Sheet'!$D$17</f>
        <v>1.437293309590435E-2</v>
      </c>
      <c r="F13" s="160">
        <f>'Data Sheet'!E26/'Data Sheet'!$E$17</f>
        <v>2.5186637508483524E-2</v>
      </c>
      <c r="G13" s="160">
        <f>'Data Sheet'!F26/'Data Sheet'!$F$17</f>
        <v>2.2837458535340648E-2</v>
      </c>
      <c r="H13" s="160">
        <f>'Data Sheet'!G26/'Data Sheet'!$G$17</f>
        <v>2.0802349082866187E-2</v>
      </c>
      <c r="I13" s="160">
        <f>'Data Sheet'!H26/'Data Sheet'!$H$17</f>
        <v>1.8768570485308684E-2</v>
      </c>
      <c r="J13" s="160">
        <f>'Data Sheet'!I26/'Data Sheet'!$I$17</f>
        <v>1.9645857567532635E-2</v>
      </c>
      <c r="K13" s="160">
        <f>'Data Sheet'!J26/'Data Sheet'!$J$17</f>
        <v>2.0431124445603965E-2</v>
      </c>
      <c r="L13" s="160">
        <f>'Data Sheet'!K26/'Data Sheet'!$K$17</f>
        <v>2.0676924986039586E-2</v>
      </c>
      <c r="N13" s="35" t="str">
        <f>'Comparables Data'!A12</f>
        <v>Depreciation</v>
      </c>
      <c r="O13" s="104">
        <f>'Comparables Data'!B12/'Comparables Data'!B$3</f>
        <v>2.6954750792656124E-2</v>
      </c>
      <c r="P13" s="104">
        <f>'Comparables Data'!C12/'Comparables Data'!C$3</f>
        <v>2.845362855802696E-2</v>
      </c>
      <c r="Q13" s="104">
        <f>'Comparables Data'!D12/'Comparables Data'!D$3</f>
        <v>2.8891645314253867E-2</v>
      </c>
      <c r="R13" s="104">
        <f>'Comparables Data'!E12/'Comparables Data'!E$3</f>
        <v>3.3306066085280348E-2</v>
      </c>
      <c r="S13" s="104">
        <f>'Comparables Data'!F12/'Comparables Data'!F$3</f>
        <v>3.3407941336792708E-2</v>
      </c>
      <c r="T13" s="104">
        <f>'Comparables Data'!G12/'Comparables Data'!G$3</f>
        <v>2.8566627762367396E-2</v>
      </c>
      <c r="U13" s="104">
        <f>'Comparables Data'!H12/'Comparables Data'!H$3</f>
        <v>2.550810410125463E-2</v>
      </c>
      <c r="V13" s="104">
        <f>'Comparables Data'!I12/'Comparables Data'!I$3</f>
        <v>2.2346631054552542E-2</v>
      </c>
      <c r="W13" s="104">
        <f>'Comparables Data'!J12/'Comparables Data'!J$3</f>
        <v>2.1856704707996222E-2</v>
      </c>
      <c r="X13" s="104">
        <f>'Comparables Data'!K12/'Comparables Data'!K$3</f>
        <v>2.1688407524433108E-2</v>
      </c>
      <c r="Z13" s="35" t="str">
        <f>'Comparables Data'!M12</f>
        <v>Depreciation</v>
      </c>
      <c r="AA13" s="85">
        <f>'Comparables Data'!P12/'Comparables Data'!P$3</f>
        <v>1.516537578012238E-2</v>
      </c>
      <c r="AB13" s="85">
        <f>'Comparables Data'!Q12/'Comparables Data'!Q$3</f>
        <v>1.4613291877186164E-2</v>
      </c>
      <c r="AC13" s="85">
        <f>'Comparables Data'!R12/'Comparables Data'!R$3</f>
        <v>1.2406679409961411E-2</v>
      </c>
      <c r="AD13" s="85">
        <f>'Comparables Data'!S12/'Comparables Data'!S$3</f>
        <v>1.2014116955051224E-2</v>
      </c>
      <c r="AE13" s="85">
        <f>'Comparables Data'!T12/'Comparables Data'!T$3</f>
        <v>1.4398817611128002E-2</v>
      </c>
      <c r="AF13" s="85">
        <f>'Comparables Data'!U12/'Comparables Data'!U$3</f>
        <v>1.9893201099208262E-2</v>
      </c>
      <c r="AG13" s="85">
        <f>'Comparables Data'!V12/'Comparables Data'!V$3</f>
        <v>2.236854656349772E-2</v>
      </c>
      <c r="AH13" s="85">
        <f>'Comparables Data'!W12/'Comparables Data'!W$3</f>
        <v>2.1190108773382513E-2</v>
      </c>
      <c r="AJ13" s="35" t="str">
        <f>'Comparables Data'!Y12</f>
        <v>Depreciation</v>
      </c>
      <c r="AK13" s="85">
        <f>'Comparables Data'!AC12/'Comparables Data'!AC$3</f>
        <v>3.0805606003495186E-2</v>
      </c>
      <c r="AL13" s="85">
        <f>'Comparables Data'!AD12/'Comparables Data'!AD$3</f>
        <v>3.0640306338051062E-2</v>
      </c>
      <c r="AM13" s="85">
        <f>'Comparables Data'!AE12/'Comparables Data'!AE$3</f>
        <v>2.8214271028531485E-2</v>
      </c>
      <c r="AN13" s="85">
        <f>'Comparables Data'!AF12/'Comparables Data'!AF$3</f>
        <v>2.485742223369352E-2</v>
      </c>
      <c r="AO13" s="85">
        <f>'Comparables Data'!AG12/'Comparables Data'!AG$3</f>
        <v>3.5531550332904477E-2</v>
      </c>
      <c r="AP13" s="85">
        <f>'Comparables Data'!AH12/'Comparables Data'!AH$3</f>
        <v>2.6766475070177785E-2</v>
      </c>
      <c r="AQ13" s="85">
        <f>'Comparables Data'!AI12/'Comparables Data'!AI$3</f>
        <v>2.7410284012595956E-2</v>
      </c>
    </row>
    <row r="14" spans="2:44" x14ac:dyDescent="0.35">
      <c r="B14" s="159" t="str">
        <f>'Data Sheet'!A27</f>
        <v>Interest</v>
      </c>
      <c r="C14" s="160">
        <f>'Data Sheet'!B27/'Data Sheet'!$B$17</f>
        <v>1.0554248839032628E-3</v>
      </c>
      <c r="D14" s="160">
        <f>'Data Sheet'!C27/'Data Sheet'!$C$17</f>
        <v>7.3146715431143621E-4</v>
      </c>
      <c r="E14" s="160">
        <f>'Data Sheet'!D27/'Data Sheet'!$D$17</f>
        <v>8.3948104807936915E-4</v>
      </c>
      <c r="F14" s="160">
        <f>'Data Sheet'!E27/'Data Sheet'!$E$17</f>
        <v>2.9660910439132291E-3</v>
      </c>
      <c r="G14" s="160">
        <f>'Data Sheet'!F27/'Data Sheet'!$F$17</f>
        <v>2.4878795611125285E-3</v>
      </c>
      <c r="H14" s="160">
        <f>'Data Sheet'!G27/'Data Sheet'!$G$17</f>
        <v>2.0211264920108303E-3</v>
      </c>
      <c r="I14" s="160">
        <f>'Data Sheet'!H27/'Data Sheet'!$H$17</f>
        <v>1.881809177946517E-3</v>
      </c>
      <c r="J14" s="160">
        <f>'Data Sheet'!I27/'Data Sheet'!$I$17</f>
        <v>5.3961483779242604E-3</v>
      </c>
      <c r="K14" s="160">
        <f>'Data Sheet'!J27/'Data Sheet'!$J$17</f>
        <v>6.2124967388468566E-3</v>
      </c>
      <c r="L14" s="160">
        <f>'Data Sheet'!K27/'Data Sheet'!$K$17</f>
        <v>6.3597443692994977E-3</v>
      </c>
      <c r="N14" s="35" t="str">
        <f>'Comparables Data'!A13</f>
        <v>Interest</v>
      </c>
      <c r="O14" s="104">
        <f>'Comparables Data'!B13/'Comparables Data'!B$3</f>
        <v>1.146428604831695E-3</v>
      </c>
      <c r="P14" s="104">
        <f>'Comparables Data'!C13/'Comparables Data'!C$3</f>
        <v>2.647015094039118E-3</v>
      </c>
      <c r="Q14" s="104">
        <f>'Comparables Data'!D13/'Comparables Data'!D$3</f>
        <v>1.4770504832685763E-3</v>
      </c>
      <c r="R14" s="104">
        <f>'Comparables Data'!E13/'Comparables Data'!E$3</f>
        <v>1.647778697934911E-3</v>
      </c>
      <c r="S14" s="104">
        <f>'Comparables Data'!F13/'Comparables Data'!F$3</f>
        <v>1.1768778123918311E-3</v>
      </c>
      <c r="T14" s="104">
        <f>'Comparables Data'!G13/'Comparables Data'!G$3</f>
        <v>9.8920694262006107E-4</v>
      </c>
      <c r="U14" s="104">
        <f>'Comparables Data'!H13/'Comparables Data'!H$3</f>
        <v>1.0966027031108574E-3</v>
      </c>
      <c r="V14" s="104">
        <f>'Comparables Data'!I13/'Comparables Data'!I$3</f>
        <v>5.7572329010477244E-4</v>
      </c>
      <c r="W14" s="104">
        <f>'Comparables Data'!J13/'Comparables Data'!J$3</f>
        <v>5.9822094984104534E-4</v>
      </c>
      <c r="X14" s="104">
        <f>'Comparables Data'!K13/'Comparables Data'!K$3</f>
        <v>1.0799001881615451E-3</v>
      </c>
      <c r="Z14" s="35" t="str">
        <f>'Comparables Data'!M13</f>
        <v>Interest</v>
      </c>
      <c r="AA14" s="85">
        <f>'Comparables Data'!P13/'Comparables Data'!P$3</f>
        <v>1.528734931186599E-2</v>
      </c>
      <c r="AB14" s="85">
        <f>'Comparables Data'!Q13/'Comparables Data'!Q$3</f>
        <v>1.4418966187329966E-2</v>
      </c>
      <c r="AC14" s="85">
        <f>'Comparables Data'!R13/'Comparables Data'!R$3</f>
        <v>1.3604068236736756E-2</v>
      </c>
      <c r="AD14" s="85">
        <f>'Comparables Data'!S13/'Comparables Data'!S$3</f>
        <v>9.9700995049262289E-3</v>
      </c>
      <c r="AE14" s="85">
        <f>'Comparables Data'!T13/'Comparables Data'!T$3</f>
        <v>1.3836874983160967E-2</v>
      </c>
      <c r="AF14" s="85">
        <f>'Comparables Data'!U13/'Comparables Data'!U$3</f>
        <v>2.0648271505893542E-2</v>
      </c>
      <c r="AG14" s="85">
        <f>'Comparables Data'!V13/'Comparables Data'!V$3</f>
        <v>2.2817432484751904E-2</v>
      </c>
      <c r="AH14" s="85">
        <f>'Comparables Data'!W13/'Comparables Data'!W$3</f>
        <v>1.9359968384207157E-2</v>
      </c>
      <c r="AJ14" s="35" t="str">
        <f>'Comparables Data'!Y13</f>
        <v>Interest</v>
      </c>
      <c r="AK14" s="85">
        <f>'Comparables Data'!AC13/'Comparables Data'!AC$3</f>
        <v>4.710961861357639E-2</v>
      </c>
      <c r="AL14" s="85">
        <f>'Comparables Data'!AD13/'Comparables Data'!AD$3</f>
        <v>4.7055917096289743E-2</v>
      </c>
      <c r="AM14" s="85">
        <f>'Comparables Data'!AE13/'Comparables Data'!AE$3</f>
        <v>3.5504279428782905E-2</v>
      </c>
      <c r="AN14" s="85">
        <f>'Comparables Data'!AF13/'Comparables Data'!AF$3</f>
        <v>3.6129627883197915E-2</v>
      </c>
      <c r="AO14" s="85">
        <f>'Comparables Data'!AG13/'Comparables Data'!AG$3</f>
        <v>4.4798330438082137E-2</v>
      </c>
      <c r="AP14" s="85">
        <f>'Comparables Data'!AH13/'Comparables Data'!AH$3</f>
        <v>3.838524261462372E-2</v>
      </c>
      <c r="AQ14" s="85">
        <f>'Comparables Data'!AI13/'Comparables Data'!AI$3</f>
        <v>2.4714025574212501E-2</v>
      </c>
    </row>
    <row r="15" spans="2:44" x14ac:dyDescent="0.35">
      <c r="B15" s="159" t="str">
        <f>'Data Sheet'!A28</f>
        <v>Profit before tax</v>
      </c>
      <c r="C15" s="160">
        <f>'Data Sheet'!B28/'Data Sheet'!$B$17</f>
        <v>0.19501236354864002</v>
      </c>
      <c r="D15" s="160">
        <f>'Data Sheet'!C28/'Data Sheet'!$C$17</f>
        <v>0.20554227036151357</v>
      </c>
      <c r="E15" s="160">
        <f>'Data Sheet'!D28/'Data Sheet'!$D$17</f>
        <v>0.21887560417196641</v>
      </c>
      <c r="F15" s="160">
        <f>'Data Sheet'!E28/'Data Sheet'!$E$17</f>
        <v>0.23037478319885379</v>
      </c>
      <c r="G15" s="160">
        <f>'Data Sheet'!F28/'Data Sheet'!$F$17</f>
        <v>0.22550395509058432</v>
      </c>
      <c r="H15" s="160">
        <f>'Data Sheet'!G28/'Data Sheet'!$G$17</f>
        <v>0.22649963772260992</v>
      </c>
      <c r="I15" s="160">
        <f>'Data Sheet'!H28/'Data Sheet'!$H$17</f>
        <v>0.22027071640805546</v>
      </c>
      <c r="J15" s="160">
        <f>'Data Sheet'!I28/'Data Sheet'!$I$17</f>
        <v>0.22499030632027917</v>
      </c>
      <c r="K15" s="160">
        <f>'Data Sheet'!J28/'Data Sheet'!$J$17</f>
        <v>0.2351128358987738</v>
      </c>
      <c r="L15" s="160">
        <f>'Data Sheet'!K28/'Data Sheet'!$K$17</f>
        <v>0.28260532357138424</v>
      </c>
      <c r="N15" s="35" t="str">
        <f>'Comparables Data'!A14</f>
        <v>Profit before tax</v>
      </c>
      <c r="O15" s="104">
        <f>'Comparables Data'!B14/'Comparables Data'!B$3</f>
        <v>0.37473040338948177</v>
      </c>
      <c r="P15" s="104">
        <f>'Comparables Data'!C14/'Comparables Data'!C$3</f>
        <v>0.40067974040333321</v>
      </c>
      <c r="Q15" s="104">
        <f>'Comparables Data'!D14/'Comparables Data'!D$3</f>
        <v>0.39615197318636197</v>
      </c>
      <c r="R15" s="104">
        <f>'Comparables Data'!E14/'Comparables Data'!E$3</f>
        <v>0.40565910135519573</v>
      </c>
      <c r="S15" s="104">
        <f>'Comparables Data'!F14/'Comparables Data'!F$3</f>
        <v>0.36417171412649252</v>
      </c>
      <c r="T15" s="104">
        <f>'Comparables Data'!G14/'Comparables Data'!G$3</f>
        <v>0.34200061538928322</v>
      </c>
      <c r="U15" s="104">
        <f>'Comparables Data'!H14/'Comparables Data'!H$3</f>
        <v>0.36541842154355464</v>
      </c>
      <c r="V15" s="104">
        <f>'Comparables Data'!I14/'Comparables Data'!I$3</f>
        <v>0.39687987712407446</v>
      </c>
      <c r="W15" s="104">
        <f>'Comparables Data'!J14/'Comparables Data'!J$3</f>
        <v>0.5568386903714041</v>
      </c>
      <c r="X15" s="104">
        <f>'Comparables Data'!K14/'Comparables Data'!K$3</f>
        <v>0.35544514659863774</v>
      </c>
      <c r="Z15" s="35" t="str">
        <f>'Comparables Data'!M14</f>
        <v>Profit before tax</v>
      </c>
      <c r="AA15" s="85">
        <f>'Comparables Data'!P14/'Comparables Data'!P$3</f>
        <v>3.7059624728100669E-2</v>
      </c>
      <c r="AB15" s="85">
        <f>'Comparables Data'!Q14/'Comparables Data'!Q$3</f>
        <v>4.3801010493587256E-2</v>
      </c>
      <c r="AC15" s="85">
        <f>'Comparables Data'!R14/'Comparables Data'!R$3</f>
        <v>3.4666570490857293E-2</v>
      </c>
      <c r="AD15" s="85">
        <f>'Comparables Data'!S14/'Comparables Data'!S$3</f>
        <v>3.5037498161854815E-2</v>
      </c>
      <c r="AE15" s="85">
        <f>'Comparables Data'!T14/'Comparables Data'!T$3</f>
        <v>4.0221236042846199E-2</v>
      </c>
      <c r="AF15" s="85">
        <f>'Comparables Data'!U14/'Comparables Data'!U$3</f>
        <v>4.2621546369672303E-2</v>
      </c>
      <c r="AG15" s="85">
        <f>'Comparables Data'!V14/'Comparables Data'!V$3</f>
        <v>4.1502308956957452E-2</v>
      </c>
      <c r="AH15" s="85">
        <f>'Comparables Data'!W14/'Comparables Data'!W$3</f>
        <v>4.6962625616319767E-2</v>
      </c>
      <c r="AJ15" s="35" t="str">
        <f>'Comparables Data'!Y14</f>
        <v>Profit before tax</v>
      </c>
      <c r="AK15" s="85">
        <f>'Comparables Data'!AC14/'Comparables Data'!AC$3</f>
        <v>2.2547373470856321E-3</v>
      </c>
      <c r="AL15" s="85">
        <f>'Comparables Data'!AD14/'Comparables Data'!AD$3</f>
        <v>3.011370654739073E-2</v>
      </c>
      <c r="AM15" s="85">
        <f>'Comparables Data'!AE14/'Comparables Data'!AE$3</f>
        <v>1.8833011225790536E-2</v>
      </c>
      <c r="AN15" s="85">
        <f>'Comparables Data'!AF14/'Comparables Data'!AF$3</f>
        <v>1.5759248321081654E-2</v>
      </c>
      <c r="AO15" s="85">
        <f>'Comparables Data'!AG14/'Comparables Data'!AG$3</f>
        <v>7.3754794950998117E-3</v>
      </c>
      <c r="AP15" s="85">
        <f>'Comparables Data'!AH14/'Comparables Data'!AH$3</f>
        <v>-8.2341932896671567E-4</v>
      </c>
      <c r="AQ15" s="85">
        <f>'Comparables Data'!AI14/'Comparables Data'!AI$3</f>
        <v>2.2988621386963392E-3</v>
      </c>
    </row>
    <row r="16" spans="2:44" x14ac:dyDescent="0.35">
      <c r="B16" s="159" t="str">
        <f>'Data Sheet'!A29</f>
        <v>Tax</v>
      </c>
      <c r="C16" s="160">
        <f>'Data Sheet'!B29/'Data Sheet'!$B$17</f>
        <v>5.9616428442192872E-2</v>
      </c>
      <c r="D16" s="160">
        <f>'Data Sheet'!C29/'Data Sheet'!$C$17</f>
        <v>5.8489238992825994E-2</v>
      </c>
      <c r="E16" s="160">
        <f>'Data Sheet'!D29/'Data Sheet'!$D$17</f>
        <v>6.4716357161027735E-2</v>
      </c>
      <c r="F16" s="160">
        <f>'Data Sheet'!E29/'Data Sheet'!$E$17</f>
        <v>6.0553502752431945E-2</v>
      </c>
      <c r="G16" s="160">
        <f>'Data Sheet'!F29/'Data Sheet'!$F$17</f>
        <v>5.5413796036403846E-2</v>
      </c>
      <c r="H16" s="160">
        <f>'Data Sheet'!G29/'Data Sheet'!$G$17</f>
        <v>5.6953819166380655E-2</v>
      </c>
      <c r="I16" s="160">
        <f>'Data Sheet'!H29/'Data Sheet'!$H$17</f>
        <v>5.2839220864971941E-2</v>
      </c>
      <c r="J16" s="160">
        <f>'Data Sheet'!I29/'Data Sheet'!$I$17</f>
        <v>5.8872948171125761E-2</v>
      </c>
      <c r="K16" s="160">
        <f>'Data Sheet'!J29/'Data Sheet'!$J$17</f>
        <v>6.1114009913905559E-2</v>
      </c>
      <c r="L16" s="160">
        <f>'Data Sheet'!K29/'Data Sheet'!$K$17</f>
        <v>4.9016566358503447E-2</v>
      </c>
      <c r="N16" s="35" t="str">
        <f>'Comparables Data'!A15</f>
        <v>Tax</v>
      </c>
      <c r="O16" s="104">
        <f>'Comparables Data'!B15/'Comparables Data'!B$3</f>
        <v>0.12974985736866226</v>
      </c>
      <c r="P16" s="104">
        <f>'Comparables Data'!C15/'Comparables Data'!C$3</f>
        <v>0.13616972013586523</v>
      </c>
      <c r="Q16" s="104">
        <f>'Comparables Data'!D15/'Comparables Data'!D$3</f>
        <v>0.13061594660110823</v>
      </c>
      <c r="R16" s="104">
        <f>'Comparables Data'!E15/'Comparables Data'!E$3</f>
        <v>8.9937170591058102E-2</v>
      </c>
      <c r="S16" s="104">
        <f>'Comparables Data'!F15/'Comparables Data'!F$3</f>
        <v>9.2479208728831891E-2</v>
      </c>
      <c r="T16" s="104">
        <f>'Comparables Data'!G15/'Comparables Data'!G$3</f>
        <v>8.636127836075598E-2</v>
      </c>
      <c r="U16" s="104">
        <f>'Comparables Data'!H15/'Comparables Data'!H$3</f>
        <v>9.0785223655766301E-2</v>
      </c>
      <c r="V16" s="104">
        <f>'Comparables Data'!I15/'Comparables Data'!I$3</f>
        <v>9.1407075964560991E-2</v>
      </c>
      <c r="W16" s="104">
        <f>'Comparables Data'!J15/'Comparables Data'!J$3</f>
        <v>9.1478551004243847E-2</v>
      </c>
      <c r="X16" s="104">
        <f>'Comparables Data'!K15/'Comparables Data'!K$3</f>
        <v>8.8948679065379802E-2</v>
      </c>
      <c r="Z16" s="35" t="str">
        <f>'Comparables Data'!M15</f>
        <v>Tax</v>
      </c>
      <c r="AA16" s="85">
        <f>'Comparables Data'!P15/'Comparables Data'!P$3</f>
        <v>1.2827549755036489E-2</v>
      </c>
      <c r="AB16" s="85">
        <f>'Comparables Data'!Q15/'Comparables Data'!Q$3</f>
        <v>1.5416504728591787E-2</v>
      </c>
      <c r="AC16" s="85">
        <f>'Comparables Data'!R15/'Comparables Data'!R$3</f>
        <v>9.8604248566379355E-3</v>
      </c>
      <c r="AD16" s="85">
        <f>'Comparables Data'!S15/'Comparables Data'!S$3</f>
        <v>1.3146414391451399E-2</v>
      </c>
      <c r="AE16" s="85">
        <f>'Comparables Data'!T15/'Comparables Data'!T$3</f>
        <v>1.2851550923163967E-2</v>
      </c>
      <c r="AF16" s="85">
        <f>'Comparables Data'!U15/'Comparables Data'!U$3</f>
        <v>8.8539265476220725E-3</v>
      </c>
      <c r="AG16" s="85">
        <f>'Comparables Data'!V15/'Comparables Data'!V$3</f>
        <v>1.0742401203014269E-2</v>
      </c>
      <c r="AH16" s="85">
        <f>'Comparables Data'!W15/'Comparables Data'!W$3</f>
        <v>1.1905321991794948E-2</v>
      </c>
      <c r="AJ16" s="35" t="str">
        <f>'Comparables Data'!Y15</f>
        <v>Tax</v>
      </c>
      <c r="AK16" s="85">
        <f>'Comparables Data'!AC15/'Comparables Data'!AC$3</f>
        <v>-5.3455779049446596E-4</v>
      </c>
      <c r="AL16" s="85">
        <f>'Comparables Data'!AD15/'Comparables Data'!AD$3</f>
        <v>1.2462861712294481E-2</v>
      </c>
      <c r="AM16" s="85">
        <f>'Comparables Data'!AE15/'Comparables Data'!AE$3</f>
        <v>7.6189692950250545E-3</v>
      </c>
      <c r="AN16" s="85">
        <f>'Comparables Data'!AF15/'Comparables Data'!AF$3</f>
        <v>6.0158138472916423E-3</v>
      </c>
      <c r="AO16" s="85">
        <f>'Comparables Data'!AG15/'Comparables Data'!AG$3</f>
        <v>8.8932630567923772E-5</v>
      </c>
      <c r="AP16" s="85">
        <f>'Comparables Data'!AH15/'Comparables Data'!AH$3</f>
        <v>1.1698970725838791E-2</v>
      </c>
      <c r="AQ16" s="85">
        <f>'Comparables Data'!AI15/'Comparables Data'!AI$3</f>
        <v>5.2315462237290859E-4</v>
      </c>
    </row>
    <row r="17" spans="2:43" x14ac:dyDescent="0.35">
      <c r="B17" s="159" t="str">
        <f>'Data Sheet'!A30</f>
        <v>Net profit</v>
      </c>
      <c r="C17" s="160">
        <f>'Data Sheet'!B30/'Data Sheet'!$B$17</f>
        <v>0.13497376515288584</v>
      </c>
      <c r="D17" s="160">
        <f>'Data Sheet'!C30/'Data Sheet'!$C$17</f>
        <v>0.14668729779153186</v>
      </c>
      <c r="E17" s="160">
        <f>'Data Sheet'!D30/'Data Sheet'!$D$17</f>
        <v>0.15400661409310609</v>
      </c>
      <c r="F17" s="160">
        <f>'Data Sheet'!E30/'Data Sheet'!$E$17</f>
        <v>0.16962018952819044</v>
      </c>
      <c r="G17" s="160">
        <f>'Data Sheet'!F30/'Data Sheet'!$F$17</f>
        <v>0.17000510334268945</v>
      </c>
      <c r="H17" s="160">
        <f>'Data Sheet'!G30/'Data Sheet'!$G$17</f>
        <v>0.16929794455249209</v>
      </c>
      <c r="I17" s="160">
        <f>'Data Sheet'!H30/'Data Sheet'!$H$17</f>
        <v>0.16705183228788378</v>
      </c>
      <c r="J17" s="160">
        <f>'Data Sheet'!I30/'Data Sheet'!$I$17</f>
        <v>0.16603657748481324</v>
      </c>
      <c r="K17" s="160">
        <f>'Data Sheet'!J30/'Data Sheet'!$J$17</f>
        <v>0.17364009913905556</v>
      </c>
      <c r="L17" s="160">
        <f>'Data Sheet'!K30/'Data Sheet'!$K$17</f>
        <v>0.23329403735186449</v>
      </c>
      <c r="N17" s="35" t="str">
        <f>'Comparables Data'!A16</f>
        <v>Net profit</v>
      </c>
      <c r="O17" s="104">
        <f>'Comparables Data'!B16/'Comparables Data'!B$3</f>
        <v>0.2405896052151629</v>
      </c>
      <c r="P17" s="104">
        <f>'Comparables Data'!C16/'Comparables Data'!C$3</f>
        <v>0.25941254263049918</v>
      </c>
      <c r="Q17" s="104">
        <f>'Comparables Data'!D16/'Comparables Data'!D$3</f>
        <v>0.26049729848707825</v>
      </c>
      <c r="R17" s="104">
        <f>'Comparables Data'!E16/'Comparables Data'!E$3</f>
        <v>0.30991987883622846</v>
      </c>
      <c r="S17" s="104">
        <f>'Comparables Data'!F16/'Comparables Data'!F$3</f>
        <v>0.26719186640802561</v>
      </c>
      <c r="T17" s="104">
        <f>'Comparables Data'!G16/'Comparables Data'!G$3</f>
        <v>0.25134430898478244</v>
      </c>
      <c r="U17" s="104">
        <f>'Comparables Data'!H16/'Comparables Data'!H$3</f>
        <v>0.27061368436652333</v>
      </c>
      <c r="V17" s="104">
        <f>'Comparables Data'!I16/'Comparables Data'!I$3</f>
        <v>0.30116584334261615</v>
      </c>
      <c r="W17" s="104">
        <f>'Comparables Data'!J16/'Comparables Data'!J$3</f>
        <v>0.46129964497060272</v>
      </c>
      <c r="X17" s="104">
        <f>'Comparables Data'!K16/'Comparables Data'!K$3</f>
        <v>0.26232901897337846</v>
      </c>
      <c r="Z17" s="35" t="str">
        <f>'Comparables Data'!M16</f>
        <v>Net profit</v>
      </c>
      <c r="AA17" s="85">
        <f>'Comparables Data'!P16/'Comparables Data'!P$3</f>
        <v>2.421174605110691E-2</v>
      </c>
      <c r="AB17" s="85">
        <f>'Comparables Data'!Q16/'Comparables Data'!Q$3</f>
        <v>2.8384505764995467E-2</v>
      </c>
      <c r="AC17" s="85">
        <f>'Comparables Data'!R16/'Comparables Data'!R$3</f>
        <v>2.4813358819922821E-2</v>
      </c>
      <c r="AD17" s="85">
        <f>'Comparables Data'!S16/'Comparables Data'!S$3</f>
        <v>2.189108377040341E-2</v>
      </c>
      <c r="AE17" s="85">
        <f>'Comparables Data'!T16/'Comparables Data'!T$3</f>
        <v>2.7373534041791596E-2</v>
      </c>
      <c r="AF17" s="85">
        <f>'Comparables Data'!U16/'Comparables Data'!U$3</f>
        <v>3.3767619822050232E-2</v>
      </c>
      <c r="AG17" s="85">
        <f>'Comparables Data'!V16/'Comparables Data'!V$3</f>
        <v>3.0759907753943182E-2</v>
      </c>
      <c r="AH17" s="85">
        <f>'Comparables Data'!W16/'Comparables Data'!W$3</f>
        <v>3.5057303624524826E-2</v>
      </c>
      <c r="AJ17" s="35" t="str">
        <f>'Comparables Data'!Y16</f>
        <v>Net profit</v>
      </c>
      <c r="AK17" s="85">
        <f>'Comparables Data'!AC16/'Comparables Data'!AC$3</f>
        <v>2.7824418325737583E-3</v>
      </c>
      <c r="AL17" s="85">
        <f>'Comparables Data'!AD16/'Comparables Data'!AD$3</f>
        <v>1.7650844835096248E-2</v>
      </c>
      <c r="AM17" s="85">
        <f>'Comparables Data'!AE16/'Comparables Data'!AE$3</f>
        <v>1.1219916232457867E-2</v>
      </c>
      <c r="AN17" s="85">
        <f>'Comparables Data'!AF16/'Comparables Data'!AF$3</f>
        <v>9.7483980165683059E-3</v>
      </c>
      <c r="AO17" s="85">
        <f>'Comparables Data'!AG16/'Comparables Data'!AG$3</f>
        <v>7.2924757065697503E-3</v>
      </c>
      <c r="AP17" s="85">
        <f>'Comparables Data'!AH16/'Comparables Data'!AH$3</f>
        <v>-1.2517043176045984E-2</v>
      </c>
      <c r="AQ17" s="85">
        <f>'Comparables Data'!AI16/'Comparables Data'!AI$3</f>
        <v>1.77570751632343E-3</v>
      </c>
    </row>
    <row r="18" spans="2:43" x14ac:dyDescent="0.35">
      <c r="B18" s="159" t="str">
        <f>'Data Sheet'!A31</f>
        <v>Dividend Amount</v>
      </c>
      <c r="C18" s="160">
        <f>'Data Sheet'!B31/'Data Sheet'!$B$17</f>
        <v>0.11072914781979373</v>
      </c>
      <c r="D18" s="160">
        <f>'Data Sheet'!C31/'Data Sheet'!$C$17</f>
        <v>0.12153608102405401</v>
      </c>
      <c r="E18" s="160">
        <f>'Data Sheet'!D31/'Data Sheet'!$D$17</f>
        <v>0.12088527092342916</v>
      </c>
      <c r="F18" s="160">
        <f>'Data Sheet'!E31/'Data Sheet'!$E$17</f>
        <v>0.13573636980619863</v>
      </c>
      <c r="G18" s="160">
        <f>'Data Sheet'!F31/'Data Sheet'!$F$17</f>
        <v>0.20237943352896148</v>
      </c>
      <c r="H18" s="160">
        <f>'Data Sheet'!G31/'Data Sheet'!$G$17</f>
        <v>0.15234717614308049</v>
      </c>
      <c r="I18" s="160">
        <f>'Data Sheet'!H31/'Data Sheet'!$H$17</f>
        <v>0.15128755364806867</v>
      </c>
      <c r="J18" s="160">
        <f>'Data Sheet'!I31/'Data Sheet'!$I$17</f>
        <v>0.1594610314075223</v>
      </c>
      <c r="K18" s="160">
        <f>'Data Sheet'!J31/'Data Sheet'!$J$17</f>
        <v>0.20308831202713279</v>
      </c>
      <c r="L18" s="160">
        <f>'Data Sheet'!K31/'Data Sheet'!$K$17</f>
        <v>0.14945399267853818</v>
      </c>
      <c r="N18" s="35" t="str">
        <f>'Comparables Data'!A17</f>
        <v>Dividend Amount</v>
      </c>
      <c r="O18" s="104">
        <f>'Comparables Data'!B17/'Comparables Data'!B$3</f>
        <v>0.13491568383542682</v>
      </c>
      <c r="P18" s="104">
        <f>'Comparables Data'!C17/'Comparables Data'!C$3</f>
        <v>0.14465738404665338</v>
      </c>
      <c r="Q18" s="104">
        <f>'Comparables Data'!D17/'Comparables Data'!D$3</f>
        <v>0.14581632691057719</v>
      </c>
      <c r="R18" s="104">
        <f>'Comparables Data'!E17/'Comparables Data'!E$3</f>
        <v>0.25262524879676518</v>
      </c>
      <c r="S18" s="104">
        <f>'Comparables Data'!F17/'Comparables Data'!F$3</f>
        <v>0.26862860338892897</v>
      </c>
      <c r="T18" s="104">
        <f>'Comparables Data'!G17/'Comparables Data'!G$3</f>
        <v>0.23368633021208504</v>
      </c>
      <c r="U18" s="104">
        <f>'Comparables Data'!H17/'Comparables Data'!H$3</f>
        <v>0.27162526052598296</v>
      </c>
      <c r="V18" s="104">
        <f>'Comparables Data'!I17/'Comparables Data'!I$3</f>
        <v>0.2527008650128349</v>
      </c>
      <c r="W18" s="104">
        <f>'Comparables Data'!J17/'Comparables Data'!J$3</f>
        <v>0.23840857296025375</v>
      </c>
      <c r="X18" s="104">
        <f>'Comparables Data'!K17/'Comparables Data'!K$3</f>
        <v>0.23035563039189333</v>
      </c>
      <c r="Z18" s="35"/>
    </row>
    <row r="19" spans="2:43" x14ac:dyDescent="0.35">
      <c r="B19" s="35"/>
    </row>
    <row r="21" spans="2:43" x14ac:dyDescent="0.35">
      <c r="B21" s="176" t="str">
        <f>"Common Size Balance Sheet for "&amp;'Data Sheet'!B1</f>
        <v>Common Size Balance Sheet for HINDUSTAN UNILEVER LTD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N21" s="176" t="str">
        <f>"Common Size Balance Sheet for "&amp;'Comparables Data'!A1</f>
        <v>Common Size Balance Sheet for ITC LTD</v>
      </c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Z21" s="176" t="str">
        <f>"Common Size Balance Sheet for "&amp;'Comparables Data'!O1</f>
        <v>Common Size Balance Sheet for HINDUSTAN FOODS LTD</v>
      </c>
      <c r="AA21" s="176"/>
      <c r="AB21" s="176"/>
      <c r="AC21" s="176"/>
      <c r="AD21" s="176"/>
      <c r="AE21" s="176"/>
      <c r="AF21" s="176"/>
      <c r="AG21" s="176"/>
      <c r="AH21" s="176"/>
      <c r="AJ21" s="176" t="str">
        <f>"Common Size Balance Sheet for "&amp;'Comparables Data'!Z1</f>
        <v>Common Size Balance Sheet for GODAVARI BIOREFINERIES LTD</v>
      </c>
      <c r="AK21" s="176"/>
      <c r="AL21" s="176"/>
      <c r="AM21" s="176"/>
      <c r="AN21" s="176"/>
      <c r="AO21" s="176"/>
      <c r="AP21" s="176"/>
      <c r="AQ21" s="176"/>
    </row>
    <row r="22" spans="2:43" x14ac:dyDescent="0.35">
      <c r="B22" s="122" t="s">
        <v>93</v>
      </c>
      <c r="C22" s="158">
        <f>C3</f>
        <v>42825</v>
      </c>
      <c r="D22" s="158">
        <f t="shared" ref="D22:L22" si="3">D3</f>
        <v>43190</v>
      </c>
      <c r="E22" s="158">
        <f t="shared" si="3"/>
        <v>43555</v>
      </c>
      <c r="F22" s="158">
        <f t="shared" si="3"/>
        <v>43921</v>
      </c>
      <c r="G22" s="158">
        <f t="shared" si="3"/>
        <v>44286</v>
      </c>
      <c r="H22" s="158">
        <f t="shared" si="3"/>
        <v>44651</v>
      </c>
      <c r="I22" s="158">
        <f t="shared" si="3"/>
        <v>45016</v>
      </c>
      <c r="J22" s="158">
        <f t="shared" si="3"/>
        <v>45382</v>
      </c>
      <c r="K22" s="158">
        <f t="shared" si="3"/>
        <v>45747</v>
      </c>
      <c r="L22" s="158">
        <f t="shared" si="3"/>
        <v>46112</v>
      </c>
      <c r="N22" s="122" t="s">
        <v>93</v>
      </c>
      <c r="O22" s="158">
        <f>C22</f>
        <v>42825</v>
      </c>
      <c r="P22" s="158">
        <f t="shared" ref="P22" si="4">D22</f>
        <v>43190</v>
      </c>
      <c r="Q22" s="158">
        <f t="shared" ref="Q22" si="5">E22</f>
        <v>43555</v>
      </c>
      <c r="R22" s="158">
        <f t="shared" ref="R22" si="6">F22</f>
        <v>43921</v>
      </c>
      <c r="S22" s="158">
        <f t="shared" ref="S22" si="7">G22</f>
        <v>44286</v>
      </c>
      <c r="T22" s="158">
        <f t="shared" ref="T22" si="8">H22</f>
        <v>44651</v>
      </c>
      <c r="U22" s="158">
        <f t="shared" ref="U22" si="9">I22</f>
        <v>45016</v>
      </c>
      <c r="V22" s="158">
        <f t="shared" ref="V22" si="10">J22</f>
        <v>45382</v>
      </c>
      <c r="W22" s="158">
        <f t="shared" ref="W22" si="11">K22</f>
        <v>45747</v>
      </c>
      <c r="X22" s="158">
        <f t="shared" ref="X22" si="12">L22</f>
        <v>46112</v>
      </c>
      <c r="Z22" s="122" t="s">
        <v>93</v>
      </c>
      <c r="AA22" s="163">
        <f>Q22</f>
        <v>43555</v>
      </c>
      <c r="AB22" s="163">
        <f t="shared" ref="AB22" si="13">R22</f>
        <v>43921</v>
      </c>
      <c r="AC22" s="163">
        <f t="shared" ref="AC22" si="14">S22</f>
        <v>44286</v>
      </c>
      <c r="AD22" s="163">
        <f t="shared" ref="AD22" si="15">T22</f>
        <v>44651</v>
      </c>
      <c r="AE22" s="163">
        <f t="shared" ref="AE22" si="16">U22</f>
        <v>45016</v>
      </c>
      <c r="AF22" s="163">
        <f t="shared" ref="AF22" si="17">V22</f>
        <v>45382</v>
      </c>
      <c r="AG22" s="163">
        <f t="shared" ref="AG22" si="18">W22</f>
        <v>45747</v>
      </c>
      <c r="AH22" s="163">
        <f t="shared" ref="AH22" si="19">X22</f>
        <v>46112</v>
      </c>
      <c r="AJ22" s="122" t="s">
        <v>93</v>
      </c>
      <c r="AK22" s="163">
        <f>AB22</f>
        <v>43921</v>
      </c>
      <c r="AL22" s="163">
        <f t="shared" ref="AL22" si="20">AC22</f>
        <v>44286</v>
      </c>
      <c r="AM22" s="163">
        <f t="shared" ref="AM22" si="21">AD22</f>
        <v>44651</v>
      </c>
      <c r="AN22" s="163">
        <f t="shared" ref="AN22" si="22">AE22</f>
        <v>45016</v>
      </c>
      <c r="AO22" s="163">
        <f t="shared" ref="AO22" si="23">AF22</f>
        <v>45382</v>
      </c>
      <c r="AP22" s="163">
        <f t="shared" ref="AP22" si="24">AG22</f>
        <v>45747</v>
      </c>
      <c r="AQ22" s="163">
        <f t="shared" ref="AQ22" si="25">AH22</f>
        <v>46112</v>
      </c>
    </row>
    <row r="23" spans="2:43" x14ac:dyDescent="0.35">
      <c r="B23" s="159" t="str">
        <f>'Data Sheet'!A57</f>
        <v>Equity Share Capital</v>
      </c>
      <c r="C23" s="160">
        <f>'Data Sheet'!B57/'Data Sheet'!$B$61</f>
        <v>1.3752705972239909E-2</v>
      </c>
      <c r="D23" s="160">
        <f>'Data Sheet'!C57/'Data Sheet'!$B$61</f>
        <v>1.3752705972239909E-2</v>
      </c>
      <c r="E23" s="160">
        <f>'Data Sheet'!D57/'Data Sheet'!$B$61</f>
        <v>1.3752705972239909E-2</v>
      </c>
      <c r="F23" s="160">
        <f>'Data Sheet'!E57/'Data Sheet'!$B$61</f>
        <v>1.3752705972239909E-2</v>
      </c>
      <c r="G23" s="160">
        <f>'Data Sheet'!F57/'Data Sheet'!$B$61</f>
        <v>1.4962434738316568E-2</v>
      </c>
      <c r="H23" s="160">
        <f>'Data Sheet'!G57/'Data Sheet'!$B$61</f>
        <v>1.4962434738316568E-2</v>
      </c>
      <c r="I23" s="160">
        <f>'Data Sheet'!H57/'Data Sheet'!$B$61</f>
        <v>1.4962434738316568E-2</v>
      </c>
      <c r="J23" s="160">
        <f>'Data Sheet'!I57/'Data Sheet'!$B$61</f>
        <v>1.4962434738316568E-2</v>
      </c>
      <c r="K23" s="160">
        <f>'Data Sheet'!J57/'Data Sheet'!$B$61</f>
        <v>1.4962434738316568E-2</v>
      </c>
      <c r="L23" s="160">
        <f>'Data Sheet'!K57/'Data Sheet'!$B$61</f>
        <v>1.4962434738316568E-2</v>
      </c>
      <c r="N23" s="35" t="str">
        <f>'Comparables Data'!A21</f>
        <v>Equity Share Capital</v>
      </c>
      <c r="O23" s="85">
        <f>'Comparables Data'!B21/'Comparables Data'!B$25</f>
        <v>2.1731243443452324E-2</v>
      </c>
      <c r="P23" s="85">
        <f>'Comparables Data'!C21/'Comparables Data'!C$25</f>
        <v>1.8997716096043518E-2</v>
      </c>
      <c r="Q23" s="85">
        <f>'Comparables Data'!D21/'Comparables Data'!D$25</f>
        <v>1.7087766995488092E-2</v>
      </c>
      <c r="R23" s="85">
        <f>'Comparables Data'!E21/'Comparables Data'!E$25</f>
        <v>1.5899729339063456E-2</v>
      </c>
      <c r="S23" s="85">
        <f>'Comparables Data'!F21/'Comparables Data'!F$25</f>
        <v>1.6687463632424616E-2</v>
      </c>
      <c r="T23" s="85">
        <f>'Comparables Data'!G21/'Comparables Data'!G$25</f>
        <v>1.5963646830497218E-2</v>
      </c>
      <c r="U23" s="85">
        <f>'Comparables Data'!H21/'Comparables Data'!H$25</f>
        <v>1.447962366959428E-2</v>
      </c>
      <c r="V23" s="85">
        <f>'Comparables Data'!I21/'Comparables Data'!I$25</f>
        <v>1.3606713693151371E-2</v>
      </c>
      <c r="W23" s="85">
        <f>'Comparables Data'!J21/'Comparables Data'!J$25</f>
        <v>1.4220131882317249E-2</v>
      </c>
      <c r="X23" s="85">
        <f>'Comparables Data'!K21/'Comparables Data'!K$25</f>
        <v>1.3358761127503109E-2</v>
      </c>
      <c r="Z23" s="35" t="str">
        <f>'Comparables Data'!M21</f>
        <v>Equity Share Capital</v>
      </c>
      <c r="AA23" s="85">
        <f>'Comparables Data'!P21/'Comparables Data'!P$25</f>
        <v>5.0670472899372723E-2</v>
      </c>
      <c r="AB23" s="85">
        <f>'Comparables Data'!Q21/'Comparables Data'!Q$25</f>
        <v>3.9323341742098235E-2</v>
      </c>
      <c r="AC23" s="85">
        <f>'Comparables Data'!R21/'Comparables Data'!R$25</f>
        <v>3.0529074623426744E-2</v>
      </c>
      <c r="AD23" s="85">
        <f>'Comparables Data'!S21/'Comparables Data'!S$25</f>
        <v>2.2907354733848029E-2</v>
      </c>
      <c r="AE23" s="85">
        <f>'Comparables Data'!T21/'Comparables Data'!T$25</f>
        <v>1.6894422967424855E-2</v>
      </c>
      <c r="AF23" s="85">
        <f>'Comparables Data'!U21/'Comparables Data'!U$25</f>
        <v>1.1904452608223478E-2</v>
      </c>
      <c r="AG23" s="85">
        <f>'Comparables Data'!V21/'Comparables Data'!V$25</f>
        <v>9.4656919017984814E-3</v>
      </c>
      <c r="AH23" s="85">
        <f>'Comparables Data'!W21/'Comparables Data'!W$25</f>
        <v>7.5306187395823808E-3</v>
      </c>
      <c r="AJ23" s="35" t="str">
        <f>'Comparables Data'!Y21</f>
        <v>Equity Share Capital</v>
      </c>
      <c r="AK23" s="85">
        <f>'Comparables Data'!AC21/'Comparables Data'!AC$25</f>
        <v>2.9237075455914335E-2</v>
      </c>
      <c r="AL23" s="85">
        <f>'Comparables Data'!AD21/'Comparables Data'!AD$25</f>
        <v>2.9090656863425119E-2</v>
      </c>
      <c r="AM23" s="85">
        <f>'Comparables Data'!AE21/'Comparables Data'!AE$25</f>
        <v>2.4193269264049286E-2</v>
      </c>
      <c r="AN23" s="85">
        <f>'Comparables Data'!AF21/'Comparables Data'!AF$25</f>
        <v>2.4054785720840598E-2</v>
      </c>
      <c r="AO23" s="85">
        <f>'Comparables Data'!AG21/'Comparables Data'!AG$25</f>
        <v>2.10595028872709E-2</v>
      </c>
      <c r="AP23" s="85">
        <f>'Comparables Data'!AH21/'Comparables Data'!AH$25</f>
        <v>2.6177823015820244E-2</v>
      </c>
      <c r="AQ23" s="85">
        <f>'Comparables Data'!AI21/'Comparables Data'!AI$25</f>
        <v>2.4938482153733708E-2</v>
      </c>
    </row>
    <row r="24" spans="2:43" x14ac:dyDescent="0.35">
      <c r="B24" s="159" t="str">
        <f>'Data Sheet'!A58</f>
        <v>Reserves</v>
      </c>
      <c r="C24" s="160">
        <f>'Data Sheet'!B58/'Data Sheet'!$B$61</f>
        <v>0.41563733604991721</v>
      </c>
      <c r="D24" s="160">
        <f>'Data Sheet'!C58/'Data Sheet'!$B$61</f>
        <v>0.449828091175347</v>
      </c>
      <c r="E24" s="160">
        <f>'Data Sheet'!D58/'Data Sheet'!$B$61</f>
        <v>0.48713867311855341</v>
      </c>
      <c r="F24" s="160">
        <f>'Data Sheet'!E58/'Data Sheet'!$B$61</f>
        <v>0.51018718960906662</v>
      </c>
      <c r="G24" s="160">
        <f>'Data Sheet'!F58/'Data Sheet'!$B$61</f>
        <v>3.0204380491531899</v>
      </c>
      <c r="H24" s="160">
        <f>'Data Sheet'!G58/'Data Sheet'!$B$61</f>
        <v>3.1087482490767862</v>
      </c>
      <c r="I24" s="160">
        <f>'Data Sheet'!H58/'Data Sheet'!$B$61</f>
        <v>3.1878899783522221</v>
      </c>
      <c r="J24" s="160">
        <f>'Data Sheet'!I58/'Data Sheet'!$B$61</f>
        <v>3.2460842989940151</v>
      </c>
      <c r="K24" s="160">
        <f>'Data Sheet'!J58/'Data Sheet'!$B$61</f>
        <v>3.1304596969311089</v>
      </c>
      <c r="L24" s="160">
        <f>'Data Sheet'!K58/'Data Sheet'!$B$61</f>
        <v>3.0882465299885395</v>
      </c>
      <c r="N24" s="35" t="str">
        <f>'Comparables Data'!A22</f>
        <v>Reserves</v>
      </c>
      <c r="O24" s="85">
        <f>'Comparables Data'!B22/'Comparables Data'!B$25</f>
        <v>0.80857868358118823</v>
      </c>
      <c r="P24" s="85">
        <f>'Comparables Data'!C22/'Comparables Data'!C$25</f>
        <v>0.79839628597864787</v>
      </c>
      <c r="Q24" s="85">
        <f>'Comparables Data'!D22/'Comparables Data'!D$25</f>
        <v>0.80730115708267081</v>
      </c>
      <c r="R24" s="85">
        <f>'Comparables Data'!E22/'Comparables Data'!E$25</f>
        <v>0.82839760317937672</v>
      </c>
      <c r="S24" s="85">
        <f>'Comparables Data'!F22/'Comparables Data'!F$25</f>
        <v>0.80146218666944324</v>
      </c>
      <c r="T24" s="85">
        <f>'Comparables Data'!G22/'Comparables Data'!G$25</f>
        <v>0.79308803744027212</v>
      </c>
      <c r="U24" s="85">
        <f>'Comparables Data'!H22/'Comparables Data'!H$25</f>
        <v>0.79123500424555426</v>
      </c>
      <c r="V24" s="85">
        <f>'Comparables Data'!I22/'Comparables Data'!I$25</f>
        <v>0.79842354505205604</v>
      </c>
      <c r="W24" s="85">
        <f>'Comparables Data'!J22/'Comparables Data'!J$25</f>
        <v>0.78155147512519507</v>
      </c>
      <c r="X24" s="85">
        <f>'Comparables Data'!K22/'Comparables Data'!K$25</f>
        <v>0.75970297373837836</v>
      </c>
      <c r="Z24" s="35" t="str">
        <f>'Comparables Data'!M22</f>
        <v>Reserves</v>
      </c>
      <c r="AA24" s="85">
        <f>'Comparables Data'!P22/'Comparables Data'!P$25</f>
        <v>0.19107538594448406</v>
      </c>
      <c r="AB24" s="85">
        <f>'Comparables Data'!Q22/'Comparables Data'!Q$25</f>
        <v>0.3060172132363852</v>
      </c>
      <c r="AC24" s="85">
        <f>'Comparables Data'!R22/'Comparables Data'!R$25</f>
        <v>0.28724691109127043</v>
      </c>
      <c r="AD24" s="85">
        <f>'Comparables Data'!S22/'Comparables Data'!S$25</f>
        <v>0.28516863063795206</v>
      </c>
      <c r="AE24" s="85">
        <f>'Comparables Data'!T22/'Comparables Data'!T$25</f>
        <v>0.26335820671881088</v>
      </c>
      <c r="AF24" s="85">
        <f>'Comparables Data'!U22/'Comparables Data'!U$25</f>
        <v>0.32383644498022857</v>
      </c>
      <c r="AG24" s="85">
        <f>'Comparables Data'!V22/'Comparables Data'!V$25</f>
        <v>0.34943306547439223</v>
      </c>
      <c r="AH24" s="85">
        <f>'Comparables Data'!W22/'Comparables Data'!W$25</f>
        <v>0.35957286582580011</v>
      </c>
      <c r="AJ24" s="35" t="str">
        <f>'Comparables Data'!Y22</f>
        <v>Reserves</v>
      </c>
      <c r="AK24" s="85">
        <f>'Comparables Data'!AC22/'Comparables Data'!AC$25</f>
        <v>0.26852239138921419</v>
      </c>
      <c r="AL24" s="85">
        <f>'Comparables Data'!AD22/'Comparables Data'!AD$25</f>
        <v>0.28575986682388849</v>
      </c>
      <c r="AM24" s="85">
        <f>'Comparables Data'!AE22/'Comparables Data'!AE$25</f>
        <v>0.24865881375682131</v>
      </c>
      <c r="AN24" s="85">
        <f>'Comparables Data'!AF22/'Comparables Data'!AF$25</f>
        <v>0.25667041387537853</v>
      </c>
      <c r="AO24" s="85">
        <f>'Comparables Data'!AG22/'Comparables Data'!AG$25</f>
        <v>0.23034898317850866</v>
      </c>
      <c r="AP24" s="85">
        <f>'Comparables Data'!AH22/'Comparables Data'!AH$25</f>
        <v>0.37378841894746534</v>
      </c>
      <c r="AQ24" s="85">
        <f>'Comparables Data'!AI22/'Comparables Data'!AI$25</f>
        <v>0.35917164088195885</v>
      </c>
    </row>
    <row r="25" spans="2:43" x14ac:dyDescent="0.35">
      <c r="B25" s="159" t="str">
        <f>'Data Sheet'!A59</f>
        <v>Borrowings</v>
      </c>
      <c r="C25" s="160">
        <f>'Data Sheet'!B59/'Data Sheet'!$B$61</f>
        <v>1.7636572010696547E-2</v>
      </c>
      <c r="D25" s="160">
        <f>'Data Sheet'!C59/'Data Sheet'!$B$61</f>
        <v>0</v>
      </c>
      <c r="E25" s="160">
        <f>'Data Sheet'!D59/'Data Sheet'!$B$61</f>
        <v>6.3033235706099582E-3</v>
      </c>
      <c r="F25" s="160">
        <f>'Data Sheet'!E59/'Data Sheet'!$B$61</f>
        <v>0</v>
      </c>
      <c r="G25" s="160">
        <f>'Data Sheet'!F59/'Data Sheet'!$B$61</f>
        <v>0</v>
      </c>
      <c r="H25" s="160">
        <f>'Data Sheet'!G59/'Data Sheet'!$B$61</f>
        <v>6.6407742264102884E-2</v>
      </c>
      <c r="I25" s="160">
        <f>'Data Sheet'!H59/'Data Sheet'!$B$61</f>
        <v>7.7613650834076148E-2</v>
      </c>
      <c r="J25" s="160">
        <f>'Data Sheet'!I59/'Data Sheet'!$B$61</f>
        <v>9.4486183624092709E-2</v>
      </c>
      <c r="K25" s="160">
        <f>'Data Sheet'!J59/'Data Sheet'!$B$61</f>
        <v>0.10492805297338596</v>
      </c>
      <c r="L25" s="160">
        <f>'Data Sheet'!K59/'Data Sheet'!$B$61</f>
        <v>9.4104164013752711E-2</v>
      </c>
      <c r="N25" s="35" t="str">
        <f>'Comparables Data'!A23</f>
        <v>Borrowings</v>
      </c>
      <c r="O25" s="85">
        <f>'Comparables Data'!B23/'Comparables Data'!B$25</f>
        <v>8.1791366896178633E-4</v>
      </c>
      <c r="P25" s="85">
        <f>'Comparables Data'!C23/'Comparables Data'!C$25</f>
        <v>5.5914551606391452E-4</v>
      </c>
      <c r="Q25" s="85">
        <f>'Comparables Data'!D23/'Comparables Data'!D$25</f>
        <v>1.8734569071456771E-4</v>
      </c>
      <c r="R25" s="85">
        <f>'Comparables Data'!E23/'Comparables Data'!E$25</f>
        <v>3.5887635290046986E-3</v>
      </c>
      <c r="S25" s="85">
        <f>'Comparables Data'!F23/'Comparables Data'!F$25</f>
        <v>3.6717354864564847E-3</v>
      </c>
      <c r="T25" s="85">
        <f>'Comparables Data'!G23/'Comparables Data'!G$25</f>
        <v>3.2312546683106198E-3</v>
      </c>
      <c r="U25" s="85">
        <f>'Comparables Data'!H23/'Comparables Data'!H$25</f>
        <v>3.5656131540413856E-3</v>
      </c>
      <c r="V25" s="85">
        <f>'Comparables Data'!I23/'Comparables Data'!I$25</f>
        <v>3.3069958716772691E-3</v>
      </c>
      <c r="W25" s="85">
        <f>'Comparables Data'!J23/'Comparables Data'!J$25</f>
        <v>3.2333098870830101E-3</v>
      </c>
      <c r="X25" s="85">
        <f>'Comparables Data'!K23/'Comparables Data'!K$25</f>
        <v>2.5578410527592965E-2</v>
      </c>
      <c r="Z25" s="35" t="str">
        <f>'Comparables Data'!M23</f>
        <v>Borrowings</v>
      </c>
      <c r="AA25" s="85">
        <f>'Comparables Data'!P23/'Comparables Data'!P$25</f>
        <v>0.37373699432821245</v>
      </c>
      <c r="AB25" s="85">
        <f>'Comparables Data'!Q23/'Comparables Data'!Q$25</f>
        <v>0.30618415195132809</v>
      </c>
      <c r="AC25" s="85">
        <f>'Comparables Data'!R23/'Comparables Data'!R$25</f>
        <v>0.31364304023501632</v>
      </c>
      <c r="AD25" s="85">
        <f>'Comparables Data'!S23/'Comparables Data'!S$25</f>
        <v>0.355749695245835</v>
      </c>
      <c r="AE25" s="85">
        <f>'Comparables Data'!T23/'Comparables Data'!T$25</f>
        <v>0.3864365129311636</v>
      </c>
      <c r="AF25" s="85">
        <f>'Comparables Data'!U23/'Comparables Data'!U$25</f>
        <v>0.37751300344506855</v>
      </c>
      <c r="AG25" s="85">
        <f>'Comparables Data'!V23/'Comparables Data'!V$25</f>
        <v>0.35942641935029102</v>
      </c>
      <c r="AH25" s="85">
        <f>'Comparables Data'!W23/'Comparables Data'!W$25</f>
        <v>0.34289837445765364</v>
      </c>
      <c r="AJ25" s="35" t="str">
        <f>'Comparables Data'!Y23</f>
        <v>Borrowings</v>
      </c>
      <c r="AK25" s="85">
        <f>'Comparables Data'!AC23/'Comparables Data'!AC$25</f>
        <v>0.41064357816072716</v>
      </c>
      <c r="AL25" s="85">
        <f>'Comparables Data'!AD23/'Comparables Data'!AD$25</f>
        <v>0.39482555316640078</v>
      </c>
      <c r="AM25" s="85">
        <f>'Comparables Data'!AE23/'Comparables Data'!AE$25</f>
        <v>0.36665436044163968</v>
      </c>
      <c r="AN25" s="85">
        <f>'Comparables Data'!AF23/'Comparables Data'!AF$25</f>
        <v>0.42207144168119665</v>
      </c>
      <c r="AO25" s="85">
        <f>'Comparables Data'!AG23/'Comparables Data'!AG$25</f>
        <v>0.32869194074817976</v>
      </c>
      <c r="AP25" s="85">
        <f>'Comparables Data'!AH23/'Comparables Data'!AH$25</f>
        <v>0.25051020669125207</v>
      </c>
      <c r="AQ25" s="85">
        <f>'Comparables Data'!AI23/'Comparables Data'!AI$25</f>
        <v>0.25862346205384334</v>
      </c>
    </row>
    <row r="26" spans="2:43" x14ac:dyDescent="0.35">
      <c r="B26" s="159" t="str">
        <f>'Data Sheet'!A60</f>
        <v>Other Liabilities</v>
      </c>
      <c r="C26" s="160">
        <f>'Data Sheet'!B60/'Data Sheet'!$B$61</f>
        <v>0.55297338596714629</v>
      </c>
      <c r="D26" s="160">
        <f>'Data Sheet'!C60/'Data Sheet'!$B$61</f>
        <v>0.67369158283458552</v>
      </c>
      <c r="E26" s="160">
        <f>'Data Sheet'!D60/'Data Sheet'!$B$61</f>
        <v>0.67891251750923209</v>
      </c>
      <c r="F26" s="160">
        <f>'Data Sheet'!E60/'Data Sheet'!$B$61</f>
        <v>0.7592003056156883</v>
      </c>
      <c r="G26" s="160">
        <f>'Data Sheet'!F60/'Data Sheet'!$B$61</f>
        <v>1.3412708519037311</v>
      </c>
      <c r="H26" s="160">
        <f>'Data Sheet'!G60/'Data Sheet'!$B$61</f>
        <v>1.2989940150261046</v>
      </c>
      <c r="I26" s="160">
        <f>'Data Sheet'!H60/'Data Sheet'!$B$61</f>
        <v>1.3723417802113842</v>
      </c>
      <c r="J26" s="160">
        <f>'Data Sheet'!I60/'Data Sheet'!$B$61</f>
        <v>1.6418566153062524</v>
      </c>
      <c r="K26" s="160">
        <f>'Data Sheet'!J60/'Data Sheet'!$B$61</f>
        <v>1.8345218387877245</v>
      </c>
      <c r="L26" s="160">
        <f>'Data Sheet'!K60/'Data Sheet'!$B$61</f>
        <v>1.8796001528078441</v>
      </c>
      <c r="N26" s="35" t="str">
        <f>'Comparables Data'!A24</f>
        <v>Other Liabilities</v>
      </c>
      <c r="O26" s="85">
        <f>'Comparables Data'!B24/'Comparables Data'!B$25</f>
        <v>0.16887215930639776</v>
      </c>
      <c r="P26" s="85">
        <f>'Comparables Data'!C24/'Comparables Data'!C$25</f>
        <v>0.18204685240924473</v>
      </c>
      <c r="Q26" s="85">
        <f>'Comparables Data'!D24/'Comparables Data'!D$25</f>
        <v>0.17542373023112662</v>
      </c>
      <c r="R26" s="85">
        <f>'Comparables Data'!E24/'Comparables Data'!E$25</f>
        <v>0.15211390395255511</v>
      </c>
      <c r="S26" s="85">
        <f>'Comparables Data'!F24/'Comparables Data'!F$25</f>
        <v>0.17817861421167572</v>
      </c>
      <c r="T26" s="85">
        <f>'Comparables Data'!G24/'Comparables Data'!G$25</f>
        <v>0.18771706106091998</v>
      </c>
      <c r="U26" s="85">
        <f>'Comparables Data'!H24/'Comparables Data'!H$25</f>
        <v>0.19071975893081003</v>
      </c>
      <c r="V26" s="85">
        <f>'Comparables Data'!I24/'Comparables Data'!I$25</f>
        <v>0.18466274538311531</v>
      </c>
      <c r="W26" s="85">
        <f>'Comparables Data'!J24/'Comparables Data'!J$25</f>
        <v>0.20099508310540473</v>
      </c>
      <c r="X26" s="85">
        <f>'Comparables Data'!K24/'Comparables Data'!K$25</f>
        <v>0.20135985460652561</v>
      </c>
      <c r="Z26" s="35" t="str">
        <f>'Comparables Data'!M24</f>
        <v>Other Liabilities</v>
      </c>
      <c r="AA26" s="85">
        <f>'Comparables Data'!P24/'Comparables Data'!P$25</f>
        <v>0.3845171468279307</v>
      </c>
      <c r="AB26" s="85">
        <f>'Comparables Data'!Q24/'Comparables Data'!Q$25</f>
        <v>0.34847529307018849</v>
      </c>
      <c r="AC26" s="85">
        <f>'Comparables Data'!R24/'Comparables Data'!R$25</f>
        <v>0.36858097405028656</v>
      </c>
      <c r="AD26" s="85">
        <f>'Comparables Data'!S24/'Comparables Data'!S$25</f>
        <v>0.33617431938236492</v>
      </c>
      <c r="AE26" s="85">
        <f>'Comparables Data'!T24/'Comparables Data'!T$25</f>
        <v>0.33331085738260063</v>
      </c>
      <c r="AF26" s="85">
        <f>'Comparables Data'!U24/'Comparables Data'!U$25</f>
        <v>0.28674609896647946</v>
      </c>
      <c r="AG26" s="85">
        <f>'Comparables Data'!V24/'Comparables Data'!V$25</f>
        <v>0.28167482327351817</v>
      </c>
      <c r="AH26" s="85">
        <f>'Comparables Data'!W24/'Comparables Data'!W$25</f>
        <v>0.28999814097696386</v>
      </c>
      <c r="AJ26" s="35" t="str">
        <f>'Comparables Data'!Y24</f>
        <v>Other Liabilities</v>
      </c>
      <c r="AK26" s="85">
        <f>'Comparables Data'!AC24/'Comparables Data'!AC$25</f>
        <v>0.29159695499414423</v>
      </c>
      <c r="AL26" s="85">
        <f>'Comparables Data'!AD24/'Comparables Data'!AD$25</f>
        <v>0.29032392314628563</v>
      </c>
      <c r="AM26" s="85">
        <f>'Comparables Data'!AE24/'Comparables Data'!AE$25</f>
        <v>0.36049355653748971</v>
      </c>
      <c r="AN26" s="85">
        <f>'Comparables Data'!AF24/'Comparables Data'!AF$25</f>
        <v>0.29720335872258419</v>
      </c>
      <c r="AO26" s="85">
        <f>'Comparables Data'!AG24/'Comparables Data'!AG$25</f>
        <v>0.41989957318604071</v>
      </c>
      <c r="AP26" s="85">
        <f>'Comparables Data'!AH24/'Comparables Data'!AH$25</f>
        <v>0.34952355134546237</v>
      </c>
      <c r="AQ26" s="85">
        <f>'Comparables Data'!AI24/'Comparables Data'!AI$25</f>
        <v>0.35726641491046413</v>
      </c>
    </row>
    <row r="27" spans="2:43" x14ac:dyDescent="0.35">
      <c r="B27" s="159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O27" s="85"/>
      <c r="P27" s="85"/>
      <c r="Q27" s="85"/>
      <c r="R27" s="85"/>
      <c r="S27" s="85"/>
      <c r="T27" s="85"/>
      <c r="U27" s="85"/>
      <c r="V27" s="85"/>
      <c r="W27" s="85"/>
      <c r="X27" s="85"/>
      <c r="AA27" s="85"/>
      <c r="AB27" s="85"/>
      <c r="AC27" s="85"/>
      <c r="AD27" s="85"/>
      <c r="AE27" s="85"/>
      <c r="AF27" s="85"/>
      <c r="AG27" s="85"/>
      <c r="AH27" s="85"/>
      <c r="AJ27" s="35"/>
      <c r="AK27" s="85"/>
      <c r="AL27" s="85"/>
      <c r="AM27" s="85"/>
      <c r="AN27" s="85"/>
      <c r="AO27" s="85"/>
      <c r="AP27" s="85"/>
      <c r="AQ27" s="85"/>
    </row>
    <row r="28" spans="2:43" x14ac:dyDescent="0.35">
      <c r="B28" s="159" t="s">
        <v>111</v>
      </c>
      <c r="C28" s="160">
        <f>'Data Sheet'!B61/'Data Sheet'!B$61</f>
        <v>1</v>
      </c>
      <c r="D28" s="160">
        <f>'Data Sheet'!C61/'Data Sheet'!C$61</f>
        <v>1</v>
      </c>
      <c r="E28" s="160">
        <f>'Data Sheet'!D61/'Data Sheet'!D$61</f>
        <v>1</v>
      </c>
      <c r="F28" s="160">
        <f>'Data Sheet'!E61/'Data Sheet'!E$61</f>
        <v>1</v>
      </c>
      <c r="G28" s="160">
        <f>'Data Sheet'!F61/'Data Sheet'!F$61</f>
        <v>1</v>
      </c>
      <c r="H28" s="160">
        <f>'Data Sheet'!G61/'Data Sheet'!G$61</f>
        <v>1</v>
      </c>
      <c r="I28" s="160">
        <f>'Data Sheet'!H61/'Data Sheet'!H$61</f>
        <v>1</v>
      </c>
      <c r="J28" s="160">
        <f>'Data Sheet'!I61/'Data Sheet'!I$61</f>
        <v>1</v>
      </c>
      <c r="K28" s="160">
        <f>'Data Sheet'!J61/'Data Sheet'!J$61</f>
        <v>1</v>
      </c>
      <c r="L28" s="160">
        <f>'Data Sheet'!K61/'Data Sheet'!K$61</f>
        <v>1</v>
      </c>
      <c r="N28" s="35" t="s">
        <v>266</v>
      </c>
      <c r="O28" s="85">
        <f>'Comparables Data'!B25/'Comparables Data'!B$25</f>
        <v>1</v>
      </c>
      <c r="P28" s="85">
        <f>'Comparables Data'!C25/'Comparables Data'!C$25</f>
        <v>1</v>
      </c>
      <c r="Q28" s="85">
        <f>'Comparables Data'!D25/'Comparables Data'!D$25</f>
        <v>1</v>
      </c>
      <c r="R28" s="85">
        <f>'Comparables Data'!E25/'Comparables Data'!E$25</f>
        <v>1</v>
      </c>
      <c r="S28" s="85">
        <f>'Comparables Data'!F25/'Comparables Data'!F$25</f>
        <v>1</v>
      </c>
      <c r="T28" s="85">
        <f>'Comparables Data'!G25/'Comparables Data'!G$25</f>
        <v>1</v>
      </c>
      <c r="U28" s="85">
        <f>'Comparables Data'!H25/'Comparables Data'!H$25</f>
        <v>1</v>
      </c>
      <c r="V28" s="85">
        <f>'Comparables Data'!I25/'Comparables Data'!I$25</f>
        <v>1</v>
      </c>
      <c r="W28" s="85">
        <f>'Comparables Data'!J25/'Comparables Data'!J$25</f>
        <v>1</v>
      </c>
      <c r="X28" s="85">
        <f>'Comparables Data'!K25/'Comparables Data'!K$25</f>
        <v>1</v>
      </c>
      <c r="Z28" s="35" t="s">
        <v>266</v>
      </c>
      <c r="AA28" s="85">
        <f>'Comparables Data'!P25/'Comparables Data'!P$25</f>
        <v>1</v>
      </c>
      <c r="AB28" s="85">
        <f>'Comparables Data'!Q25/'Comparables Data'!Q$25</f>
        <v>1</v>
      </c>
      <c r="AC28" s="85">
        <f>'Comparables Data'!R25/'Comparables Data'!R$25</f>
        <v>1</v>
      </c>
      <c r="AD28" s="85">
        <f>'Comparables Data'!S25/'Comparables Data'!S$25</f>
        <v>1</v>
      </c>
      <c r="AE28" s="85">
        <f>'Comparables Data'!T25/'Comparables Data'!T$25</f>
        <v>1</v>
      </c>
      <c r="AF28" s="85">
        <f>'Comparables Data'!U25/'Comparables Data'!U$25</f>
        <v>1</v>
      </c>
      <c r="AG28" s="85">
        <f>'Comparables Data'!V25/'Comparables Data'!V$25</f>
        <v>1</v>
      </c>
      <c r="AH28" s="85">
        <f>'Comparables Data'!W25/'Comparables Data'!W$25</f>
        <v>1</v>
      </c>
      <c r="AJ28" t="s">
        <v>266</v>
      </c>
      <c r="AK28" s="85">
        <f>'Comparables Data'!AC25/'Comparables Data'!AC$25</f>
        <v>1</v>
      </c>
      <c r="AL28" s="85">
        <f>'Comparables Data'!AD25/'Comparables Data'!AD$25</f>
        <v>1</v>
      </c>
      <c r="AM28" s="85">
        <f>'Comparables Data'!AE25/'Comparables Data'!AE$25</f>
        <v>1</v>
      </c>
      <c r="AN28" s="85">
        <f>'Comparables Data'!AF25/'Comparables Data'!AF$25</f>
        <v>1</v>
      </c>
      <c r="AO28" s="85">
        <f>'Comparables Data'!AG25/'Comparables Data'!AG$25</f>
        <v>1</v>
      </c>
      <c r="AP28" s="85">
        <f>'Comparables Data'!AH25/'Comparables Data'!AH$25</f>
        <v>1</v>
      </c>
      <c r="AQ28" s="85">
        <f>'Comparables Data'!AI25/'Comparables Data'!AI$25</f>
        <v>1</v>
      </c>
    </row>
    <row r="29" spans="2:43" x14ac:dyDescent="0.35">
      <c r="B29" s="159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O29" s="85"/>
      <c r="P29" s="85"/>
      <c r="Q29" s="85"/>
      <c r="R29" s="85"/>
      <c r="S29" s="85"/>
      <c r="T29" s="85"/>
      <c r="U29" s="85"/>
      <c r="V29" s="85"/>
      <c r="W29" s="85"/>
      <c r="X29" s="85"/>
      <c r="AA29" s="85"/>
      <c r="AB29" s="85"/>
      <c r="AC29" s="85"/>
      <c r="AD29" s="85"/>
      <c r="AE29" s="85"/>
      <c r="AF29" s="85"/>
      <c r="AG29" s="85"/>
      <c r="AH29" s="85"/>
      <c r="AK29" s="85"/>
      <c r="AL29" s="85"/>
      <c r="AM29" s="85"/>
      <c r="AN29" s="85"/>
      <c r="AO29" s="85"/>
      <c r="AP29" s="85"/>
      <c r="AQ29" s="85"/>
    </row>
    <row r="30" spans="2:43" x14ac:dyDescent="0.35">
      <c r="B30" s="159" t="str">
        <f>'Data Sheet'!A62</f>
        <v>Net Block</v>
      </c>
      <c r="C30" s="160">
        <f>'Data Sheet'!B62/'Data Sheet'!B$66</f>
        <v>0.2813574430154081</v>
      </c>
      <c r="D30" s="160">
        <f>'Data Sheet'!C62/'Data Sheet'!C$66</f>
        <v>0.25349904825887359</v>
      </c>
      <c r="E30" s="160">
        <f>'Data Sheet'!D62/'Data Sheet'!D$66</f>
        <v>0.25310000536797467</v>
      </c>
      <c r="F30" s="160">
        <f>'Data Sheet'!E62/'Data Sheet'!E$66</f>
        <v>0.27187019302337123</v>
      </c>
      <c r="G30" s="160">
        <f>'Data Sheet'!F62/'Data Sheet'!F$66</f>
        <v>0.74837067209775965</v>
      </c>
      <c r="H30" s="160">
        <f>'Data Sheet'!G62/'Data Sheet'!G$66</f>
        <v>0.73005134314810083</v>
      </c>
      <c r="I30" s="160">
        <f>'Data Sheet'!H62/'Data Sheet'!H$66</f>
        <v>0.720856083309386</v>
      </c>
      <c r="J30" s="160">
        <f>'Data Sheet'!I62/'Data Sheet'!I$66</f>
        <v>0.68473289250723035</v>
      </c>
      <c r="K30" s="160">
        <f>'Data Sheet'!J62/'Data Sheet'!J$66</f>
        <v>0.68035260383406582</v>
      </c>
      <c r="L30" s="160">
        <f>'Data Sheet'!K62/'Data Sheet'!K$66</f>
        <v>0.72020868343826028</v>
      </c>
      <c r="N30" s="35" t="str">
        <f>'Comparables Data'!A26</f>
        <v>Net Block</v>
      </c>
      <c r="O30" s="85">
        <f>'Comparables Data'!B26/'Comparables Data'!B$30</f>
        <v>0.2843284019984858</v>
      </c>
      <c r="P30" s="85">
        <f>'Comparables Data'!C26/'Comparables Data'!C$30</f>
        <v>0.25721876786245768</v>
      </c>
      <c r="Q30" s="85">
        <f>'Comparables Data'!D26/'Comparables Data'!D$30</f>
        <v>0.27006480711199926</v>
      </c>
      <c r="R30" s="85">
        <f>'Comparables Data'!E26/'Comparables Data'!E$30</f>
        <v>0.28085796606552127</v>
      </c>
      <c r="S30" s="85">
        <f>'Comparables Data'!F26/'Comparables Data'!F$30</f>
        <v>0.31586550897794441</v>
      </c>
      <c r="T30" s="85">
        <f>'Comparables Data'!G26/'Comparables Data'!G$30</f>
        <v>0.31389688224859258</v>
      </c>
      <c r="U30" s="85">
        <f>'Comparables Data'!H26/'Comparables Data'!H$30</f>
        <v>0.30118817265937603</v>
      </c>
      <c r="V30" s="85">
        <f>'Comparables Data'!I26/'Comparables Data'!I$30</f>
        <v>0.30320453708978479</v>
      </c>
      <c r="W30" s="85">
        <f>'Comparables Data'!J26/'Comparables Data'!J$30</f>
        <v>0.24947927734035433</v>
      </c>
      <c r="X30" s="85">
        <f>'Comparables Data'!K26/'Comparables Data'!K$30</f>
        <v>0.24037133933481589</v>
      </c>
      <c r="Z30" s="35" t="str">
        <f>'Comparables Data'!M26</f>
        <v>Net Block</v>
      </c>
      <c r="AA30" s="85">
        <f>'Comparables Data'!P26/'Comparables Data'!P$30</f>
        <v>0.50016902678135444</v>
      </c>
      <c r="AB30" s="85">
        <f>'Comparables Data'!Q26/'Comparables Data'!Q$30</f>
        <v>0.46327348271256863</v>
      </c>
      <c r="AC30" s="85">
        <f>'Comparables Data'!R26/'Comparables Data'!R$30</f>
        <v>0.39005212983497023</v>
      </c>
      <c r="AD30" s="85">
        <f>'Comparables Data'!S26/'Comparables Data'!S$30</f>
        <v>0.43377691995123935</v>
      </c>
      <c r="AE30" s="85">
        <f>'Comparables Data'!T26/'Comparables Data'!T$30</f>
        <v>0.41480865473942879</v>
      </c>
      <c r="AF30" s="85">
        <f>'Comparables Data'!U26/'Comparables Data'!U$30</f>
        <v>0.47201076648878404</v>
      </c>
      <c r="AG30" s="85">
        <f>'Comparables Data'!V26/'Comparables Data'!V$30</f>
        <v>0.40765311260145404</v>
      </c>
      <c r="AH30" s="85">
        <f>'Comparables Data'!W26/'Comparables Data'!W$30</f>
        <v>0.41026117698214393</v>
      </c>
      <c r="AJ30" s="35" t="str">
        <f>'Comparables Data'!Y26</f>
        <v>Net Block</v>
      </c>
      <c r="AK30" s="85">
        <f>'Comparables Data'!AC26/'Comparables Data'!AC$30</f>
        <v>0.51235290837097769</v>
      </c>
      <c r="AL30" s="85">
        <f>'Comparables Data'!AD26/'Comparables Data'!AD$30</f>
        <v>0.49096205868072418</v>
      </c>
      <c r="AM30" s="85">
        <f>'Comparables Data'!AE26/'Comparables Data'!AE$30</f>
        <v>0.38473874268837183</v>
      </c>
      <c r="AN30" s="85">
        <f>'Comparables Data'!AF26/'Comparables Data'!AF$30</f>
        <v>0.49692575938331651</v>
      </c>
      <c r="AO30" s="85">
        <f>'Comparables Data'!AG26/'Comparables Data'!AG$30</f>
        <v>0.42669344715038915</v>
      </c>
      <c r="AP30" s="85">
        <f>'Comparables Data'!AH26/'Comparables Data'!AH$30</f>
        <v>0.44110501306845212</v>
      </c>
      <c r="AQ30" s="85">
        <f>'Comparables Data'!AI26/'Comparables Data'!AI$30</f>
        <v>0.43102448532098919</v>
      </c>
    </row>
    <row r="31" spans="2:43" x14ac:dyDescent="0.35">
      <c r="B31" s="159" t="str">
        <f>'Data Sheet'!A63</f>
        <v>Capital Work in Progress</v>
      </c>
      <c r="C31" s="160">
        <f>'Data Sheet'!B63/'Data Sheet'!B$66</f>
        <v>1.458041512797657E-2</v>
      </c>
      <c r="D31" s="160">
        <f>'Data Sheet'!C63/'Data Sheet'!C$66</f>
        <v>2.5808979957451572E-2</v>
      </c>
      <c r="E31" s="160">
        <f>'Data Sheet'!D63/'Data Sheet'!D$66</f>
        <v>2.1793977132427936E-2</v>
      </c>
      <c r="F31" s="160">
        <f>'Data Sheet'!E63/'Data Sheet'!E$66</f>
        <v>2.9623381134322432E-2</v>
      </c>
      <c r="G31" s="160">
        <f>'Data Sheet'!F63/'Data Sheet'!F$66</f>
        <v>1.0837940064009311E-2</v>
      </c>
      <c r="H31" s="160">
        <f>'Data Sheet'!G63/'Data Sheet'!G$66</f>
        <v>1.8622528579128019E-2</v>
      </c>
      <c r="I31" s="160">
        <f>'Data Sheet'!H63/'Data Sheet'!H$66</f>
        <v>1.5490510009989463E-2</v>
      </c>
      <c r="J31" s="160">
        <f>'Data Sheet'!I63/'Data Sheet'!I$66</f>
        <v>1.305915478602097E-2</v>
      </c>
      <c r="K31" s="160">
        <f>'Data Sheet'!J63/'Data Sheet'!J$66</f>
        <v>1.263413595782778E-2</v>
      </c>
      <c r="L31" s="160">
        <f>'Data Sheet'!K63/'Data Sheet'!K$66</f>
        <v>1.1036143369535227E-2</v>
      </c>
      <c r="N31" s="35" t="str">
        <f>'Comparables Data'!A27</f>
        <v>Capital Work in Progress</v>
      </c>
      <c r="O31" s="85">
        <f>'Comparables Data'!B27/'Comparables Data'!B$30</f>
        <v>6.6726334530268522E-2</v>
      </c>
      <c r="P31" s="85">
        <f>'Comparables Data'!C27/'Comparables Data'!C$30</f>
        <v>8.5744933755577443E-2</v>
      </c>
      <c r="Q31" s="85">
        <f>'Comparables Data'!D27/'Comparables Data'!D$30</f>
        <v>5.7659260564401203E-2</v>
      </c>
      <c r="R31" s="85">
        <f>'Comparables Data'!E27/'Comparables Data'!E$30</f>
        <v>4.2121697176653962E-2</v>
      </c>
      <c r="S31" s="85">
        <f>'Comparables Data'!F27/'Comparables Data'!F$30</f>
        <v>5.4382438575741363E-2</v>
      </c>
      <c r="T31" s="85">
        <f>'Comparables Data'!G27/'Comparables Data'!G$30</f>
        <v>4.1783760354484591E-2</v>
      </c>
      <c r="U31" s="85">
        <f>'Comparables Data'!H27/'Comparables Data'!H$30</f>
        <v>3.4990870427174532E-2</v>
      </c>
      <c r="V31" s="85">
        <f>'Comparables Data'!I27/'Comparables Data'!I$30</f>
        <v>3.1178814388085879E-2</v>
      </c>
      <c r="W31" s="85">
        <f>'Comparables Data'!J27/'Comparables Data'!J$30</f>
        <v>1.2396324203689206E-2</v>
      </c>
      <c r="X31" s="85">
        <f>'Comparables Data'!K27/'Comparables Data'!K$30</f>
        <v>1.5986479925128246E-2</v>
      </c>
      <c r="Z31" s="35" t="str">
        <f>'Comparables Data'!M27</f>
        <v>Capital Work in Progress</v>
      </c>
      <c r="AA31" s="85">
        <f>'Comparables Data'!P27/'Comparables Data'!P$30</f>
        <v>1.2770912369004244E-3</v>
      </c>
      <c r="AB31" s="85">
        <f>'Comparables Data'!Q27/'Comparables Data'!Q$30</f>
        <v>4.7410595043775039E-2</v>
      </c>
      <c r="AC31" s="85">
        <f>'Comparables Data'!R27/'Comparables Data'!R$30</f>
        <v>7.6999510382765479E-2</v>
      </c>
      <c r="AD31" s="85">
        <f>'Comparables Data'!S27/'Comparables Data'!S$30</f>
        <v>8.8541243396993097E-2</v>
      </c>
      <c r="AE31" s="85">
        <f>'Comparables Data'!T27/'Comparables Data'!T$30</f>
        <v>9.3739698522580836E-2</v>
      </c>
      <c r="AF31" s="85">
        <f>'Comparables Data'!U27/'Comparables Data'!U$30</f>
        <v>4.5414629330368045E-3</v>
      </c>
      <c r="AG31" s="85">
        <f>'Comparables Data'!V27/'Comparables Data'!V$30</f>
        <v>4.8138078263146235E-2</v>
      </c>
      <c r="AH31" s="85">
        <f>'Comparables Data'!W27/'Comparables Data'!W$30</f>
        <v>4.7364125896821069E-2</v>
      </c>
      <c r="AJ31" s="35" t="str">
        <f>'Comparables Data'!Y27</f>
        <v>Capital Work in Progress</v>
      </c>
      <c r="AK31" s="85">
        <f>'Comparables Data'!AC27/'Comparables Data'!AC$30</f>
        <v>1.1634878143996432E-2</v>
      </c>
      <c r="AL31" s="85">
        <f>'Comparables Data'!AD27/'Comparables Data'!AD$30</f>
        <v>5.9998612748838175E-3</v>
      </c>
      <c r="AM31" s="85">
        <f>'Comparables Data'!AE27/'Comparables Data'!AE$30</f>
        <v>2.9044613911418254E-2</v>
      </c>
      <c r="AN31" s="85">
        <f>'Comparables Data'!AF27/'Comparables Data'!AF$30</f>
        <v>9.7733321097549786E-3</v>
      </c>
      <c r="AO31" s="85">
        <f>'Comparables Data'!AG27/'Comparables Data'!AG$30</f>
        <v>1.4451418528747177E-2</v>
      </c>
      <c r="AP31" s="85">
        <f>'Comparables Data'!AH27/'Comparables Data'!AH$30</f>
        <v>1.911932443007739E-2</v>
      </c>
      <c r="AQ31" s="85">
        <f>'Comparables Data'!AI27/'Comparables Data'!AI$30</f>
        <v>6.3023510780850292E-2</v>
      </c>
    </row>
    <row r="32" spans="2:43" x14ac:dyDescent="0.35">
      <c r="B32" s="159" t="str">
        <f>'Data Sheet'!A64</f>
        <v>Investments</v>
      </c>
      <c r="C32" s="160">
        <f>'Data Sheet'!B64/'Data Sheet'!B$66</f>
        <v>0.24156373360499173</v>
      </c>
      <c r="D32" s="160">
        <f>'Data Sheet'!C64/'Data Sheet'!C$66</f>
        <v>0.16084425036390101</v>
      </c>
      <c r="E32" s="160">
        <f>'Data Sheet'!D64/'Data Sheet'!D$66</f>
        <v>0.14579419185141446</v>
      </c>
      <c r="F32" s="160">
        <f>'Data Sheet'!E64/'Data Sheet'!E$66</f>
        <v>6.2273606907160224E-2</v>
      </c>
      <c r="G32" s="160">
        <f>'Data Sheet'!F64/'Data Sheet'!F$66</f>
        <v>3.9409368635437883E-2</v>
      </c>
      <c r="H32" s="160">
        <f>'Data Sheet'!G64/'Data Sheet'!G$66</f>
        <v>4.9939012282642609E-2</v>
      </c>
      <c r="I32" s="160">
        <f>'Data Sheet'!H64/'Data Sheet'!H$66</f>
        <v>3.9437853223312398E-2</v>
      </c>
      <c r="J32" s="160">
        <f>'Data Sheet'!I64/'Data Sheet'!I$66</f>
        <v>5.8925454522289748E-2</v>
      </c>
      <c r="K32" s="160">
        <f>'Data Sheet'!J64/'Data Sheet'!J$66</f>
        <v>4.7706697719845238E-2</v>
      </c>
      <c r="L32" s="160">
        <f>'Data Sheet'!K64/'Data Sheet'!K$66</f>
        <v>5.4666532895231885E-2</v>
      </c>
      <c r="N32" s="35" t="str">
        <f>'Comparables Data'!A28</f>
        <v>Investments</v>
      </c>
      <c r="O32" s="85">
        <f>'Comparables Data'!B28/'Comparables Data'!B$30</f>
        <v>0.31452430055142983</v>
      </c>
      <c r="P32" s="85">
        <f>'Comparables Data'!C28/'Comparables Data'!C$30</f>
        <v>0.34328390271117087</v>
      </c>
      <c r="Q32" s="85">
        <f>'Comparables Data'!D28/'Comparables Data'!D$30</f>
        <v>0.34909151279414952</v>
      </c>
      <c r="R32" s="85">
        <f>'Comparables Data'!E28/'Comparables Data'!E$30</f>
        <v>0.37075503730076348</v>
      </c>
      <c r="S32" s="85">
        <f>'Comparables Data'!F28/'Comparables Data'!F$30</f>
        <v>0.33718294117359965</v>
      </c>
      <c r="T32" s="85">
        <f>'Comparables Data'!G28/'Comparables Data'!G$30</f>
        <v>0.3217913306929554</v>
      </c>
      <c r="U32" s="85">
        <f>'Comparables Data'!H28/'Comparables Data'!H$30</f>
        <v>0.34270873819889697</v>
      </c>
      <c r="V32" s="85">
        <f>'Comparables Data'!I28/'Comparables Data'!I$30</f>
        <v>0.33910271130502584</v>
      </c>
      <c r="W32" s="85">
        <f>'Comparables Data'!J28/'Comparables Data'!J$30</f>
        <v>0.39453130415316806</v>
      </c>
      <c r="X32" s="85">
        <f>'Comparables Data'!K28/'Comparables Data'!K$30</f>
        <v>0.40651948484514411</v>
      </c>
      <c r="Z32" s="35" t="str">
        <f>'Comparables Data'!M28</f>
        <v>Investments</v>
      </c>
      <c r="AA32" s="85">
        <f>'Comparables Data'!P28/'Comparables Data'!P$30</f>
        <v>0</v>
      </c>
      <c r="AB32" s="85">
        <f>'Comparables Data'!Q28/'Comparables Data'!Q$30</f>
        <v>4.3589553346193802E-3</v>
      </c>
      <c r="AC32" s="85">
        <f>'Comparables Data'!R28/'Comparables Data'!R$30</f>
        <v>5.9042078281155497E-4</v>
      </c>
      <c r="AD32" s="85">
        <f>'Comparables Data'!S28/'Comparables Data'!S$30</f>
        <v>0</v>
      </c>
      <c r="AE32" s="85">
        <f>'Comparables Data'!T28/'Comparables Data'!T$30</f>
        <v>0</v>
      </c>
      <c r="AF32" s="85">
        <f>'Comparables Data'!U28/'Comparables Data'!U$30</f>
        <v>0</v>
      </c>
      <c r="AG32" s="85">
        <f>'Comparables Data'!V28/'Comparables Data'!V$30</f>
        <v>0</v>
      </c>
      <c r="AH32" s="85">
        <f>'Comparables Data'!W28/'Comparables Data'!W$30</f>
        <v>1.6636680730123421E-3</v>
      </c>
      <c r="AJ32" s="35" t="str">
        <f>'Comparables Data'!Y28</f>
        <v>Investments</v>
      </c>
      <c r="AK32" s="85">
        <f>'Comparables Data'!AC28/'Comparables Data'!AC$30</f>
        <v>3.4855836261223583E-5</v>
      </c>
      <c r="AL32" s="85">
        <f>'Comparables Data'!AD28/'Comparables Data'!AD$30</f>
        <v>3.4681279045571205E-5</v>
      </c>
      <c r="AM32" s="85">
        <f>'Comparables Data'!AE28/'Comparables Data'!AE$30</f>
        <v>0</v>
      </c>
      <c r="AN32" s="85">
        <f>'Comparables Data'!AF28/'Comparables Data'!AF$30</f>
        <v>0</v>
      </c>
      <c r="AO32" s="85">
        <f>'Comparables Data'!AG28/'Comparables Data'!AG$30</f>
        <v>0</v>
      </c>
      <c r="AP32" s="85">
        <f>'Comparables Data'!AH28/'Comparables Data'!AH$30</f>
        <v>0</v>
      </c>
      <c r="AQ32" s="85">
        <f>'Comparables Data'!AI28/'Comparables Data'!AI$30</f>
        <v>2.4363503471799245E-5</v>
      </c>
    </row>
    <row r="33" spans="2:43" x14ac:dyDescent="0.35">
      <c r="B33" s="159" t="str">
        <f>'Data Sheet'!A65</f>
        <v>Other Assets</v>
      </c>
      <c r="C33" s="160">
        <f>'Data Sheet'!B74/'Data Sheet'!B$66</f>
        <v>0.1152425824525659</v>
      </c>
      <c r="D33" s="160">
        <f>'Data Sheet'!C74/'Data Sheet'!C$66</f>
        <v>0.15071100660620312</v>
      </c>
      <c r="E33" s="160">
        <f>'Data Sheet'!D74/'Data Sheet'!D$66</f>
        <v>0.14198292984057115</v>
      </c>
      <c r="F33" s="160">
        <f>'Data Sheet'!E74/'Data Sheet'!E$66</f>
        <v>0.18821019203096312</v>
      </c>
      <c r="G33" s="160">
        <f>'Data Sheet'!F74/'Data Sheet'!F$66</f>
        <v>5.8699447192318885E-2</v>
      </c>
      <c r="H33" s="160">
        <f>'Data Sheet'!G74/'Data Sheet'!G$66</f>
        <v>5.7030607324199359E-2</v>
      </c>
      <c r="I33" s="160">
        <f>'Data Sheet'!H74/'Data Sheet'!H$66</f>
        <v>5.9895726425551132E-2</v>
      </c>
      <c r="J33" s="160">
        <f>'Data Sheet'!I74/'Data Sheet'!I$66</f>
        <v>5.7549465530201682E-2</v>
      </c>
      <c r="K33" s="160">
        <f>'Data Sheet'!J74/'Data Sheet'!J$66</f>
        <v>6.1618020860723988E-2</v>
      </c>
      <c r="L33" s="160">
        <f>'Data Sheet'!K74/'Data Sheet'!K$66</f>
        <v>7.0919762221274676E-2</v>
      </c>
      <c r="N33" s="35" t="str">
        <f>'Comparables Data'!A29</f>
        <v>Other Assets</v>
      </c>
      <c r="O33" s="85">
        <f>'Comparables Data'!B35/'Comparables Data'!B$30</f>
        <v>9.1877179850843468E-2</v>
      </c>
      <c r="P33" s="85">
        <f>'Comparables Data'!C35/'Comparables Data'!C$30</f>
        <v>0.11019073835850315</v>
      </c>
      <c r="Q33" s="85">
        <f>'Comparables Data'!D35/'Comparables Data'!D$30</f>
        <v>9.9500495127896896E-2</v>
      </c>
      <c r="R33" s="85">
        <f>'Comparables Data'!E35/'Comparables Data'!E$30</f>
        <v>6.4136617482044828E-2</v>
      </c>
      <c r="S33" s="85">
        <f>'Comparables Data'!F35/'Comparables Data'!F$30</f>
        <v>5.4530891492983506E-2</v>
      </c>
      <c r="T33" s="85">
        <f>'Comparables Data'!G35/'Comparables Data'!G$30</f>
        <v>8.9608376183124464E-2</v>
      </c>
      <c r="U33" s="85">
        <f>'Comparables Data'!H35/'Comparables Data'!H$30</f>
        <v>9.2668775928872266E-2</v>
      </c>
      <c r="V33" s="85">
        <f>'Comparables Data'!I35/'Comparables Data'!I$30</f>
        <v>4.9726131741220564E-2</v>
      </c>
      <c r="W33" s="85">
        <f>'Comparables Data'!J35/'Comparables Data'!J$30</f>
        <v>6.6674431579940144E-2</v>
      </c>
      <c r="X33" s="85">
        <f>'Comparables Data'!K35/'Comparables Data'!K$30</f>
        <v>6.4663355381322021E-2</v>
      </c>
      <c r="Z33" s="35" t="str">
        <f>'Comparables Data'!M29</f>
        <v>Other Assets</v>
      </c>
      <c r="AA33" s="85">
        <f>'Comparables Data'!P35/'Comparables Data'!P$30</f>
        <v>0.13728730796679556</v>
      </c>
      <c r="AB33" s="85">
        <f>'Comparables Data'!Q35/'Comparables Data'!Q$30</f>
        <v>0.13961641193055352</v>
      </c>
      <c r="AC33" s="85">
        <f>'Comparables Data'!R35/'Comparables Data'!R$30</f>
        <v>0.13303188272227182</v>
      </c>
      <c r="AD33" s="85">
        <f>'Comparables Data'!S35/'Comparables Data'!S$30</f>
        <v>0.11872206420154409</v>
      </c>
      <c r="AE33" s="85">
        <f>'Comparables Data'!T35/'Comparables Data'!T$30</f>
        <v>0.12519104558122809</v>
      </c>
      <c r="AF33" s="85">
        <f>'Comparables Data'!U35/'Comparables Data'!U$30</f>
        <v>0.15012288970064799</v>
      </c>
      <c r="AG33" s="85">
        <f>'Comparables Data'!V35/'Comparables Data'!V$30</f>
        <v>0.12298551950536722</v>
      </c>
      <c r="AH33" s="85">
        <f>'Comparables Data'!W35/'Comparables Data'!W$30</f>
        <v>0.1386768167223848</v>
      </c>
      <c r="AJ33" s="35" t="str">
        <f>'Comparables Data'!Y29</f>
        <v>Other Assets</v>
      </c>
      <c r="AK33" s="85">
        <f>'Comparables Data'!AC35/'Comparables Data'!AC$30</f>
        <v>9.075065528972176E-2</v>
      </c>
      <c r="AL33" s="85">
        <f>'Comparables Data'!AD35/'Comparables Data'!AD$30</f>
        <v>6.397308732746057E-2</v>
      </c>
      <c r="AM33" s="85">
        <f>'Comparables Data'!AE35/'Comparables Data'!AE$30</f>
        <v>8.3361214624410165E-2</v>
      </c>
      <c r="AN33" s="85">
        <f>'Comparables Data'!AF35/'Comparables Data'!AF$30</f>
        <v>5.3873772597962777E-2</v>
      </c>
      <c r="AO33" s="85">
        <f>'Comparables Data'!AG35/'Comparables Data'!AG$30</f>
        <v>4.2872206879236811E-2</v>
      </c>
      <c r="AP33" s="85">
        <f>'Comparables Data'!AH35/'Comparables Data'!AH$30</f>
        <v>7.4676869095540305E-2</v>
      </c>
      <c r="AQ33" s="85">
        <f>'Comparables Data'!AI35/'Comparables Data'!AI$30</f>
        <v>5.6883907905956883E-2</v>
      </c>
    </row>
    <row r="34" spans="2:43" x14ac:dyDescent="0.35">
      <c r="B34" s="159" t="str">
        <f>'Data Sheet'!A67</f>
        <v>Receivables</v>
      </c>
      <c r="C34" s="160">
        <f>'Data Sheet'!B67/'Data Sheet'!B$66</f>
        <v>6.9081879536482871E-2</v>
      </c>
      <c r="D34" s="160">
        <f>'Data Sheet'!C67/'Data Sheet'!C$66</f>
        <v>7.3340051505990364E-2</v>
      </c>
      <c r="E34" s="160">
        <f>'Data Sheet'!D67/'Data Sheet'!D$66</f>
        <v>9.748241988297815E-2</v>
      </c>
      <c r="F34" s="160">
        <f>'Data Sheet'!E67/'Data Sheet'!E$66</f>
        <v>5.7013844092690912E-2</v>
      </c>
      <c r="G34" s="160">
        <f>'Data Sheet'!F67/'Data Sheet'!F$66</f>
        <v>2.5574629036950829E-2</v>
      </c>
      <c r="H34" s="160">
        <f>'Data Sheet'!G67/'Data Sheet'!G$66</f>
        <v>3.1713613025841775E-2</v>
      </c>
      <c r="I34" s="160">
        <f>'Data Sheet'!H67/'Data Sheet'!H$66</f>
        <v>4.2133639859326465E-2</v>
      </c>
      <c r="J34" s="160">
        <f>'Data Sheet'!I67/'Data Sheet'!I$66</f>
        <v>3.8183694530443756E-2</v>
      </c>
      <c r="K34" s="160">
        <f>'Data Sheet'!J67/'Data Sheet'!J$66</f>
        <v>4.781939070658503E-2</v>
      </c>
      <c r="L34" s="160">
        <f>'Data Sheet'!K67/'Data Sheet'!K$66</f>
        <v>4.2376282324613108E-2</v>
      </c>
      <c r="N34" s="35" t="str">
        <f>'Comparables Data'!A31</f>
        <v>Receivables</v>
      </c>
      <c r="O34" s="85">
        <f>'Comparables Data'!B31/'Comparables Data'!B$30</f>
        <v>4.4264120996838546E-2</v>
      </c>
      <c r="P34" s="85">
        <f>'Comparables Data'!C31/'Comparables Data'!C$30</f>
        <v>4.1753631021243798E-2</v>
      </c>
      <c r="Q34" s="85">
        <f>'Comparables Data'!D31/'Comparables Data'!D$30</f>
        <v>5.6249428484128033E-2</v>
      </c>
      <c r="R34" s="85">
        <f>'Comparables Data'!E31/'Comparables Data'!E$30</f>
        <v>3.3145196495959491E-2</v>
      </c>
      <c r="S34" s="85">
        <f>'Comparables Data'!F31/'Comparables Data'!F$30</f>
        <v>3.3916407585822053E-2</v>
      </c>
      <c r="T34" s="85">
        <f>'Comparables Data'!G31/'Comparables Data'!G$30</f>
        <v>3.1891540522425897E-2</v>
      </c>
      <c r="U34" s="85">
        <f>'Comparables Data'!H31/'Comparables Data'!H$30</f>
        <v>3.4441767865581369E-2</v>
      </c>
      <c r="V34" s="85">
        <f>'Comparables Data'!I31/'Comparables Data'!I$30</f>
        <v>4.3876248624446439E-2</v>
      </c>
      <c r="W34" s="85">
        <f>'Comparables Data'!J31/'Comparables Data'!J$30</f>
        <v>5.3630968140750232E-2</v>
      </c>
      <c r="X34" s="85">
        <f>'Comparables Data'!K31/'Comparables Data'!K$30</f>
        <v>4.182493289966626E-2</v>
      </c>
      <c r="Z34" s="35" t="str">
        <f>'Comparables Data'!M31</f>
        <v>Receivables</v>
      </c>
      <c r="AA34" s="85">
        <f>'Comparables Data'!P31/'Comparables Data'!P$30</f>
        <v>0.16004958118919729</v>
      </c>
      <c r="AB34" s="85">
        <f>'Comparables Data'!Q31/'Comparables Data'!Q$30</f>
        <v>6.950215165454815E-2</v>
      </c>
      <c r="AC34" s="85">
        <f>'Comparables Data'!R31/'Comparables Data'!R$30</f>
        <v>7.15561187753809E-2</v>
      </c>
      <c r="AD34" s="85">
        <f>'Comparables Data'!S31/'Comparables Data'!S$30</f>
        <v>7.333401056481105E-2</v>
      </c>
      <c r="AE34" s="85">
        <f>'Comparables Data'!T31/'Comparables Data'!T$30</f>
        <v>7.8283736402049803E-2</v>
      </c>
      <c r="AF34" s="85">
        <f>'Comparables Data'!U31/'Comparables Data'!U$30</f>
        <v>9.1333288299757343E-2</v>
      </c>
      <c r="AG34" s="85">
        <f>'Comparables Data'!V31/'Comparables Data'!V$30</f>
        <v>8.4309105190018732E-2</v>
      </c>
      <c r="AH34" s="85">
        <f>'Comparables Data'!W31/'Comparables Data'!W$30</f>
        <v>8.0271984522845494E-2</v>
      </c>
      <c r="AJ34" s="35" t="str">
        <f>'Comparables Data'!Y31</f>
        <v>Receivables</v>
      </c>
      <c r="AK34" s="85">
        <f>'Comparables Data'!AC31/'Comparables Data'!AC$30</f>
        <v>8.7627572360716083E-2</v>
      </c>
      <c r="AL34" s="85">
        <f>'Comparables Data'!AD31/'Comparables Data'!AD$30</f>
        <v>0.11732676701116737</v>
      </c>
      <c r="AM34" s="85">
        <f>'Comparables Data'!AE31/'Comparables Data'!AE$30</f>
        <v>9.9640042917959776E-2</v>
      </c>
      <c r="AN34" s="85">
        <f>'Comparables Data'!AF31/'Comparables Data'!AF$30</f>
        <v>0.11588051757364412</v>
      </c>
      <c r="AO34" s="85">
        <f>'Comparables Data'!AG31/'Comparables Data'!AG$30</f>
        <v>9.5305046447401467E-2</v>
      </c>
      <c r="AP34" s="85">
        <f>'Comparables Data'!AH31/'Comparables Data'!AH$30</f>
        <v>7.069751264647664E-2</v>
      </c>
      <c r="AQ34" s="85">
        <f>'Comparables Data'!AI31/'Comparables Data'!AI$30</f>
        <v>5.5353879887927879E-2</v>
      </c>
    </row>
    <row r="35" spans="2:43" x14ac:dyDescent="0.35">
      <c r="B35" s="159" t="str">
        <f>'Data Sheet'!A68</f>
        <v>Inventory</v>
      </c>
      <c r="C35" s="160">
        <f>'Data Sheet'!B68/'Data Sheet'!B$66</f>
        <v>0.16178530497898891</v>
      </c>
      <c r="D35" s="160">
        <f>'Data Sheet'!C68/'Data Sheet'!C$66</f>
        <v>0.14068973239278917</v>
      </c>
      <c r="E35" s="160">
        <f>'Data Sheet'!D68/'Data Sheet'!D$66</f>
        <v>0.13817166782972784</v>
      </c>
      <c r="F35" s="160">
        <f>'Data Sheet'!E68/'Data Sheet'!E$66</f>
        <v>0.13729965761921303</v>
      </c>
      <c r="G35" s="160">
        <f>'Data Sheet'!F68/'Data Sheet'!F$66</f>
        <v>5.2065755018911843E-2</v>
      </c>
      <c r="H35" s="160">
        <f>'Data Sheet'!G68/'Data Sheet'!G$66</f>
        <v>5.8094346580432873E-2</v>
      </c>
      <c r="I35" s="160">
        <f>'Data Sheet'!H68/'Data Sheet'!H$66</f>
        <v>5.8171517714191878E-2</v>
      </c>
      <c r="J35" s="160">
        <f>'Data Sheet'!I68/'Data Sheet'!I$66</f>
        <v>5.1242849316464729E-2</v>
      </c>
      <c r="K35" s="160">
        <f>'Data Sheet'!J68/'Data Sheet'!J$66</f>
        <v>5.5282170717353467E-2</v>
      </c>
      <c r="L35" s="160">
        <f>'Data Sheet'!K68/'Data Sheet'!K$66</f>
        <v>6.0059193859891141E-2</v>
      </c>
      <c r="N35" s="35" t="str">
        <f>'Comparables Data'!A32</f>
        <v>Inventory</v>
      </c>
      <c r="O35" s="85">
        <f>'Comparables Data'!B32/'Comparables Data'!B$30</f>
        <v>0.14519398794096139</v>
      </c>
      <c r="P35" s="85">
        <f>'Comparables Data'!C32/'Comparables Data'!C$30</f>
        <v>0.11667165829608811</v>
      </c>
      <c r="Q35" s="85">
        <f>'Comparables Data'!D32/'Comparables Data'!D$30</f>
        <v>0.10955764113932945</v>
      </c>
      <c r="R35" s="85">
        <f>'Comparables Data'!E32/'Comparables Data'!E$30</f>
        <v>0.11485246230310792</v>
      </c>
      <c r="S35" s="85">
        <f>'Comparables Data'!F32/'Comparables Data'!F$30</f>
        <v>0.14095787516289149</v>
      </c>
      <c r="T35" s="85">
        <f>'Comparables Data'!G32/'Comparables Data'!G$30</f>
        <v>0.14073458709399783</v>
      </c>
      <c r="U35" s="85">
        <f>'Comparables Data'!H32/'Comparables Data'!H$30</f>
        <v>0.13714352024024895</v>
      </c>
      <c r="V35" s="85">
        <f>'Comparables Data'!I32/'Comparables Data'!I$30</f>
        <v>0.1542481486087196</v>
      </c>
      <c r="W35" s="85">
        <f>'Comparables Data'!J32/'Comparables Data'!J$30</f>
        <v>0.17769409347667742</v>
      </c>
      <c r="X35" s="85">
        <f>'Comparables Data'!K32/'Comparables Data'!K$30</f>
        <v>0.19855514914964306</v>
      </c>
      <c r="Z35" s="35" t="str">
        <f>'Comparables Data'!M32</f>
        <v>Inventory</v>
      </c>
      <c r="AA35" s="85">
        <f>'Comparables Data'!P32/'Comparables Data'!P$30</f>
        <v>0.18420163016940239</v>
      </c>
      <c r="AB35" s="85">
        <f>'Comparables Data'!Q32/'Comparables Data'!Q$30</f>
        <v>0.2035353910075679</v>
      </c>
      <c r="AC35" s="85">
        <f>'Comparables Data'!R32/'Comparables Data'!R$30</f>
        <v>0.24348377062872617</v>
      </c>
      <c r="AD35" s="85">
        <f>'Comparables Data'!S32/'Comparables Data'!S$30</f>
        <v>0.24153799268590007</v>
      </c>
      <c r="AE35" s="85">
        <f>'Comparables Data'!T32/'Comparables Data'!T$30</f>
        <v>0.25016482363870662</v>
      </c>
      <c r="AF35" s="85">
        <f>'Comparables Data'!U32/'Comparables Data'!U$30</f>
        <v>0.25637961226091066</v>
      </c>
      <c r="AG35" s="85">
        <f>'Comparables Data'!V32/'Comparables Data'!V$30</f>
        <v>0.30323243308561415</v>
      </c>
      <c r="AH35" s="85">
        <f>'Comparables Data'!W32/'Comparables Data'!W$30</f>
        <v>0.30546899370137787</v>
      </c>
      <c r="AJ35" s="35" t="str">
        <f>'Comparables Data'!Y32</f>
        <v>Inventory</v>
      </c>
      <c r="AK35" s="85">
        <f>'Comparables Data'!AC32/'Comparables Data'!AC$30</f>
        <v>0.26688416708493667</v>
      </c>
      <c r="AL35" s="85">
        <f>'Comparables Data'!AD32/'Comparables Data'!AD$30</f>
        <v>0.29386141360893392</v>
      </c>
      <c r="AM35" s="85">
        <f>'Comparables Data'!AE32/'Comparables Data'!AE$30</f>
        <v>0.37625321596271216</v>
      </c>
      <c r="AN35" s="85">
        <f>'Comparables Data'!AF32/'Comparables Data'!AF$30</f>
        <v>0.2978629439295219</v>
      </c>
      <c r="AO35" s="85">
        <f>'Comparables Data'!AG32/'Comparables Data'!AG$30</f>
        <v>0.40432337434094906</v>
      </c>
      <c r="AP35" s="85">
        <f>'Comparables Data'!AH32/'Comparables Data'!AH$30</f>
        <v>0.37835086875796003</v>
      </c>
      <c r="AQ35" s="85">
        <f>'Comparables Data'!AI32/'Comparables Data'!AI$30</f>
        <v>0.37802411986843704</v>
      </c>
    </row>
    <row r="36" spans="2:43" x14ac:dyDescent="0.35">
      <c r="B36" s="159" t="str">
        <f>'Data Sheet'!A69</f>
        <v>Cash &amp; Bank</v>
      </c>
      <c r="C36" s="160">
        <f>'Data Sheet'!B69/'Data Sheet'!B$66</f>
        <v>0.11638864128358589</v>
      </c>
      <c r="D36" s="160">
        <f>'Data Sheet'!C69/'Data Sheet'!C$66</f>
        <v>0.19510693091479117</v>
      </c>
      <c r="E36" s="160">
        <f>'Data Sheet'!D69/'Data Sheet'!D$66</f>
        <v>0.20167480809490579</v>
      </c>
      <c r="F36" s="160">
        <f>'Data Sheet'!E69/'Data Sheet'!E$66</f>
        <v>0.25370912519227906</v>
      </c>
      <c r="G36" s="160">
        <f>'Data Sheet'!F69/'Data Sheet'!F$66</f>
        <v>6.5042187954611586E-2</v>
      </c>
      <c r="H36" s="160">
        <f>'Data Sheet'!G69/'Data Sheet'!G$66</f>
        <v>5.4548549059654498E-2</v>
      </c>
      <c r="I36" s="160">
        <f>'Data Sheet'!H69/'Data Sheet'!H$66</f>
        <v>6.4014669458242676E-2</v>
      </c>
      <c r="J36" s="160">
        <f>'Data Sheet'!I69/'Data Sheet'!I$66</f>
        <v>9.6306488807348795E-2</v>
      </c>
      <c r="K36" s="160">
        <f>'Data Sheet'!J69/'Data Sheet'!J$66</f>
        <v>9.4586980203598667E-2</v>
      </c>
      <c r="L36" s="160">
        <f>'Data Sheet'!K69/'Data Sheet'!K$66</f>
        <v>4.0733401891193656E-2</v>
      </c>
      <c r="N36" s="35" t="str">
        <f>'Comparables Data'!A33</f>
        <v>Cash &amp; Bank</v>
      </c>
      <c r="O36" s="85">
        <f>'Comparables Data'!B33/'Comparables Data'!B$30</f>
        <v>5.3085674131172461E-2</v>
      </c>
      <c r="P36" s="85">
        <f>'Comparables Data'!C33/'Comparables Data'!C$30</f>
        <v>4.5136367994958973E-2</v>
      </c>
      <c r="Q36" s="85">
        <f>'Comparables Data'!D33/'Comparables Data'!D$30</f>
        <v>5.7876854778095725E-2</v>
      </c>
      <c r="R36" s="85">
        <f>'Comparables Data'!E33/'Comparables Data'!E$30</f>
        <v>9.4131023175949013E-2</v>
      </c>
      <c r="S36" s="85">
        <f>'Comparables Data'!F33/'Comparables Data'!F$30</f>
        <v>6.3163937031017581E-2</v>
      </c>
      <c r="T36" s="85">
        <f>'Comparables Data'!G33/'Comparables Data'!G$30</f>
        <v>6.0293522904419167E-2</v>
      </c>
      <c r="U36" s="85">
        <f>'Comparables Data'!H33/'Comparables Data'!H$30</f>
        <v>5.6858154679849782E-2</v>
      </c>
      <c r="V36" s="85">
        <f>'Comparables Data'!I33/'Comparables Data'!I$30</f>
        <v>7.8663408242716906E-2</v>
      </c>
      <c r="W36" s="85">
        <f>'Comparables Data'!J33/'Comparables Data'!J$30</f>
        <v>4.5593601105420635E-2</v>
      </c>
      <c r="X36" s="85">
        <f>'Comparables Data'!K33/'Comparables Data'!K$30</f>
        <v>3.2079258464280357E-2</v>
      </c>
      <c r="Z36" s="35" t="str">
        <f>'Comparables Data'!M33</f>
        <v>Cash &amp; Bank</v>
      </c>
      <c r="AA36" s="85">
        <f>'Comparables Data'!P33/'Comparables Data'!P$30</f>
        <v>1.7015362656349772E-2</v>
      </c>
      <c r="AB36" s="85">
        <f>'Comparables Data'!Q33/'Comparables Data'!Q$30</f>
        <v>7.2303012316367404E-2</v>
      </c>
      <c r="AC36" s="85">
        <f>'Comparables Data'!R33/'Comparables Data'!R$30</f>
        <v>8.4286166873073942E-2</v>
      </c>
      <c r="AD36" s="85">
        <f>'Comparables Data'!S33/'Comparables Data'!S$30</f>
        <v>4.4087769199512392E-2</v>
      </c>
      <c r="AE36" s="85">
        <f>'Comparables Data'!T33/'Comparables Data'!T$30</f>
        <v>3.7812041116005876E-2</v>
      </c>
      <c r="AF36" s="85">
        <f>'Comparables Data'!U33/'Comparables Data'!U$30</f>
        <v>2.5611980316863167E-2</v>
      </c>
      <c r="AG36" s="85">
        <f>'Comparables Data'!V33/'Comparables Data'!V$30</f>
        <v>3.3681751354399533E-2</v>
      </c>
      <c r="AH36" s="85">
        <f>'Comparables Data'!W33/'Comparables Data'!W$30</f>
        <v>1.6293234101414433E-2</v>
      </c>
      <c r="AJ36" s="35" t="str">
        <f>'Comparables Data'!Y33</f>
        <v>Cash &amp; Bank</v>
      </c>
      <c r="AK36" s="85">
        <f>'Comparables Data'!AC33/'Comparables Data'!AC$30</f>
        <v>3.071496291339022E-2</v>
      </c>
      <c r="AL36" s="85">
        <f>'Comparables Data'!AD33/'Comparables Data'!AD$30</f>
        <v>2.7842130817784558E-2</v>
      </c>
      <c r="AM36" s="85">
        <f>'Comparables Data'!AE33/'Comparables Data'!AE$30</f>
        <v>2.696216989512789E-2</v>
      </c>
      <c r="AN36" s="85">
        <f>'Comparables Data'!AF33/'Comparables Data'!AF$30</f>
        <v>2.5683674405799762E-2</v>
      </c>
      <c r="AO36" s="85">
        <f>'Comparables Data'!AG33/'Comparables Data'!AG$30</f>
        <v>1.6354506653276424E-2</v>
      </c>
      <c r="AP36" s="85">
        <f>'Comparables Data'!AH33/'Comparables Data'!AH$30</f>
        <v>1.6050412001493538E-2</v>
      </c>
      <c r="AQ36" s="85">
        <f>'Comparables Data'!AI33/'Comparables Data'!AI$30</f>
        <v>1.5665732732366915E-2</v>
      </c>
    </row>
    <row r="37" spans="2:43" x14ac:dyDescent="0.35">
      <c r="B37" s="159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O37" s="85"/>
      <c r="P37" s="85"/>
      <c r="Q37" s="85"/>
      <c r="R37" s="85"/>
      <c r="S37" s="85"/>
      <c r="T37" s="85"/>
      <c r="U37" s="85"/>
      <c r="V37" s="85"/>
      <c r="W37" s="85"/>
      <c r="X37" s="85"/>
      <c r="AA37" s="85"/>
      <c r="AB37" s="85"/>
      <c r="AC37" s="85"/>
      <c r="AD37" s="85"/>
      <c r="AE37" s="85"/>
      <c r="AF37" s="85"/>
      <c r="AG37" s="85"/>
      <c r="AH37" s="85"/>
      <c r="AK37" s="85"/>
      <c r="AL37" s="85"/>
      <c r="AM37" s="85"/>
      <c r="AN37" s="85"/>
      <c r="AO37" s="85"/>
      <c r="AP37" s="85"/>
      <c r="AQ37" s="85"/>
    </row>
    <row r="38" spans="2:43" x14ac:dyDescent="0.35">
      <c r="B38" s="159" t="s">
        <v>114</v>
      </c>
      <c r="C38" s="160">
        <f>'Data Sheet'!B66/'Data Sheet'!B$66</f>
        <v>1</v>
      </c>
      <c r="D38" s="160">
        <f>'Data Sheet'!C66/'Data Sheet'!C$66</f>
        <v>1</v>
      </c>
      <c r="E38" s="160">
        <f>'Data Sheet'!D66/'Data Sheet'!D$66</f>
        <v>1</v>
      </c>
      <c r="F38" s="160">
        <f>'Data Sheet'!E66/'Data Sheet'!E$66</f>
        <v>1</v>
      </c>
      <c r="G38" s="160">
        <f>'Data Sheet'!F66/'Data Sheet'!F$66</f>
        <v>1</v>
      </c>
      <c r="H38" s="160">
        <f>'Data Sheet'!G66/'Data Sheet'!G$66</f>
        <v>1</v>
      </c>
      <c r="I38" s="160">
        <f>'Data Sheet'!H66/'Data Sheet'!H$66</f>
        <v>1</v>
      </c>
      <c r="J38" s="160">
        <f>'Data Sheet'!I66/'Data Sheet'!I$66</f>
        <v>1</v>
      </c>
      <c r="K38" s="160">
        <f>'Data Sheet'!J66/'Data Sheet'!J$66</f>
        <v>1</v>
      </c>
      <c r="L38" s="160">
        <f>'Data Sheet'!K66/'Data Sheet'!K$66</f>
        <v>1</v>
      </c>
      <c r="N38" t="s">
        <v>114</v>
      </c>
      <c r="O38" s="85">
        <f>'Comparables Data'!B30/'Comparables Data'!B$30</f>
        <v>1</v>
      </c>
      <c r="P38" s="85">
        <f>'Comparables Data'!C30/'Comparables Data'!C$30</f>
        <v>1</v>
      </c>
      <c r="Q38" s="85">
        <f>'Comparables Data'!D30/'Comparables Data'!D$30</f>
        <v>1</v>
      </c>
      <c r="R38" s="85">
        <f>'Comparables Data'!E30/'Comparables Data'!E$30</f>
        <v>1</v>
      </c>
      <c r="S38" s="85">
        <f>'Comparables Data'!F30/'Comparables Data'!F$30</f>
        <v>1</v>
      </c>
      <c r="T38" s="85">
        <f>'Comparables Data'!G30/'Comparables Data'!G$30</f>
        <v>1</v>
      </c>
      <c r="U38" s="85">
        <f>'Comparables Data'!H30/'Comparables Data'!H$30</f>
        <v>1</v>
      </c>
      <c r="V38" s="85">
        <f>'Comparables Data'!I30/'Comparables Data'!I$30</f>
        <v>1</v>
      </c>
      <c r="W38" s="85">
        <f>'Comparables Data'!J30/'Comparables Data'!J$30</f>
        <v>1</v>
      </c>
      <c r="X38" s="85">
        <f>'Comparables Data'!K30/'Comparables Data'!K$30</f>
        <v>1</v>
      </c>
      <c r="Z38" t="s">
        <v>114</v>
      </c>
      <c r="AA38" s="85">
        <f>'Comparables Data'!P30/'Comparables Data'!P$30</f>
        <v>1</v>
      </c>
      <c r="AB38" s="85">
        <f>'Comparables Data'!Q30/'Comparables Data'!Q$30</f>
        <v>1</v>
      </c>
      <c r="AC38" s="85">
        <f>'Comparables Data'!R30/'Comparables Data'!R$30</f>
        <v>1</v>
      </c>
      <c r="AD38" s="85">
        <f>'Comparables Data'!S30/'Comparables Data'!S$30</f>
        <v>1</v>
      </c>
      <c r="AE38" s="85">
        <f>'Comparables Data'!T30/'Comparables Data'!T$30</f>
        <v>1</v>
      </c>
      <c r="AF38" s="85">
        <f>'Comparables Data'!U30/'Comparables Data'!U$30</f>
        <v>1</v>
      </c>
      <c r="AG38" s="85">
        <f>'Comparables Data'!V30/'Comparables Data'!V$30</f>
        <v>1</v>
      </c>
      <c r="AH38" s="85">
        <f>'Comparables Data'!W30/'Comparables Data'!W$30</f>
        <v>1</v>
      </c>
      <c r="AJ38" t="s">
        <v>114</v>
      </c>
      <c r="AK38" s="85">
        <f>'Comparables Data'!AC30/'Comparables Data'!AC$30</f>
        <v>1</v>
      </c>
      <c r="AL38" s="85">
        <f>'Comparables Data'!AD30/'Comparables Data'!AD$30</f>
        <v>1</v>
      </c>
      <c r="AM38" s="85">
        <f>'Comparables Data'!AE30/'Comparables Data'!AE$30</f>
        <v>1</v>
      </c>
      <c r="AN38" s="85">
        <f>'Comparables Data'!AF30/'Comparables Data'!AF$30</f>
        <v>1</v>
      </c>
      <c r="AO38" s="85">
        <f>'Comparables Data'!AG30/'Comparables Data'!AG$30</f>
        <v>1</v>
      </c>
      <c r="AP38" s="85">
        <f>'Comparables Data'!AH30/'Comparables Data'!AH$30</f>
        <v>1</v>
      </c>
      <c r="AQ38" s="85">
        <f>'Comparables Data'!AI30/'Comparables Data'!AI$30</f>
        <v>1</v>
      </c>
    </row>
    <row r="39" spans="2:43" x14ac:dyDescent="0.35">
      <c r="B39" s="159"/>
    </row>
  </sheetData>
  <mergeCells count="8">
    <mergeCell ref="Z2:AH2"/>
    <mergeCell ref="Z21:AH21"/>
    <mergeCell ref="AJ2:AQ2"/>
    <mergeCell ref="AJ21:AQ21"/>
    <mergeCell ref="B2:L2"/>
    <mergeCell ref="B21:L21"/>
    <mergeCell ref="N2:X2"/>
    <mergeCell ref="N21:X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8"/>
  <sheetViews>
    <sheetView showGridLines="0" zoomScale="74" zoomScaleNormal="100" workbookViewId="0">
      <selection activeCell="L24" sqref="L24"/>
    </sheetView>
  </sheetViews>
  <sheetFormatPr defaultRowHeight="14.5" x14ac:dyDescent="0.35"/>
  <cols>
    <col min="1" max="1" width="1.81640625" customWidth="1"/>
    <col min="2" max="2" width="10.90625" customWidth="1"/>
    <col min="3" max="3" width="12.6328125" customWidth="1"/>
    <col min="4" max="4" width="15.26953125" customWidth="1"/>
    <col min="5" max="17" width="10.08984375" bestFit="1" customWidth="1"/>
  </cols>
  <sheetData>
    <row r="2" spans="2:17" x14ac:dyDescent="0.35">
      <c r="B2" s="122" t="str">
        <f>"Trend Analysis for "&amp;'Data Sheet'!B1</f>
        <v>Trend Analysis for HINDUSTAN UNILEVER LTD</v>
      </c>
      <c r="C2" s="122"/>
      <c r="D2" s="122"/>
    </row>
    <row r="3" spans="2:17" x14ac:dyDescent="0.35">
      <c r="B3" s="123" t="s">
        <v>93</v>
      </c>
      <c r="C3" s="169" t="s">
        <v>268</v>
      </c>
      <c r="D3" s="170" t="s">
        <v>269</v>
      </c>
      <c r="E3" s="166"/>
      <c r="F3" s="166"/>
      <c r="G3" s="166"/>
      <c r="H3" s="166"/>
      <c r="I3" s="165"/>
      <c r="J3" s="165"/>
      <c r="K3" s="165"/>
      <c r="L3" s="165"/>
      <c r="M3" s="165"/>
      <c r="N3" s="165"/>
      <c r="O3" s="165"/>
      <c r="P3" s="165"/>
      <c r="Q3" s="165"/>
    </row>
    <row r="4" spans="2:17" x14ac:dyDescent="0.35">
      <c r="B4" s="171">
        <f>'Historical FS'!C3</f>
        <v>42825</v>
      </c>
      <c r="C4" s="167">
        <f>TRANSPOSE('Historical FS'!C6:Q6)</f>
        <v>33162</v>
      </c>
      <c r="D4" s="136">
        <v>0</v>
      </c>
      <c r="E4" s="136"/>
      <c r="F4" s="136"/>
      <c r="G4" s="136"/>
      <c r="H4" s="136"/>
    </row>
    <row r="5" spans="2:17" x14ac:dyDescent="0.35">
      <c r="B5" s="171">
        <f>'Historical FS'!D3</f>
        <v>43190</v>
      </c>
      <c r="C5" s="167">
        <f>'Historical FS'!D6</f>
        <v>35545</v>
      </c>
      <c r="D5" s="168">
        <f>(C5-C4)/C4</f>
        <v>7.1859357095470713E-2</v>
      </c>
      <c r="E5" s="136"/>
      <c r="F5" s="136"/>
      <c r="G5" s="136"/>
      <c r="H5" s="136"/>
    </row>
    <row r="6" spans="2:17" x14ac:dyDescent="0.35">
      <c r="B6" s="171">
        <f>'Historical FS'!E3</f>
        <v>43555</v>
      </c>
      <c r="C6" s="167">
        <f>'Historical FS'!E6</f>
        <v>39310</v>
      </c>
      <c r="D6" s="168">
        <f t="shared" ref="D6:D18" si="0">(C6-C5)/C5</f>
        <v>0.10592207061471375</v>
      </c>
      <c r="E6" s="136"/>
      <c r="F6" s="136"/>
      <c r="G6" s="136"/>
      <c r="H6" s="136"/>
    </row>
    <row r="7" spans="2:17" x14ac:dyDescent="0.35">
      <c r="B7" s="171">
        <f>'Historical FS'!F3</f>
        <v>43921</v>
      </c>
      <c r="C7" s="167">
        <f>'Historical FS'!F6</f>
        <v>39783</v>
      </c>
      <c r="D7" s="168">
        <f t="shared" si="0"/>
        <v>1.2032561689137624E-2</v>
      </c>
      <c r="E7" s="136"/>
      <c r="F7" s="136"/>
      <c r="G7" s="136"/>
      <c r="H7" s="136"/>
    </row>
    <row r="8" spans="2:17" x14ac:dyDescent="0.35">
      <c r="B8" s="171">
        <f>'Historical FS'!G3</f>
        <v>44286</v>
      </c>
      <c r="C8" s="167">
        <f>'Historical FS'!G6</f>
        <v>47028</v>
      </c>
      <c r="D8" s="168">
        <f t="shared" si="0"/>
        <v>0.18211296282331649</v>
      </c>
      <c r="E8" s="136"/>
      <c r="F8" s="136"/>
      <c r="G8" s="136"/>
      <c r="H8" s="136"/>
    </row>
    <row r="9" spans="2:17" x14ac:dyDescent="0.35">
      <c r="B9" s="171">
        <f>'Historical FS'!H3</f>
        <v>44651</v>
      </c>
      <c r="C9" s="167">
        <f>'Historical FS'!H6</f>
        <v>52446</v>
      </c>
      <c r="D9" s="168">
        <f t="shared" si="0"/>
        <v>0.11520796121459556</v>
      </c>
      <c r="E9" s="136"/>
      <c r="F9" s="136"/>
      <c r="G9" s="136"/>
      <c r="H9" s="136"/>
    </row>
    <row r="10" spans="2:17" x14ac:dyDescent="0.35">
      <c r="B10" s="171">
        <f>'Historical FS'!I3</f>
        <v>45016</v>
      </c>
      <c r="C10" s="167">
        <f>'Historical FS'!I6</f>
        <v>60580</v>
      </c>
      <c r="D10" s="168">
        <f t="shared" si="0"/>
        <v>0.15509285741524617</v>
      </c>
      <c r="E10" s="136"/>
      <c r="F10" s="136"/>
      <c r="G10" s="136"/>
      <c r="H10" s="136"/>
    </row>
    <row r="11" spans="2:17" x14ac:dyDescent="0.35">
      <c r="B11" s="171">
        <f>'Historical FS'!J3</f>
        <v>45382</v>
      </c>
      <c r="C11" s="167">
        <f>'Historical FS'!J6</f>
        <v>61896</v>
      </c>
      <c r="D11" s="168">
        <f t="shared" si="0"/>
        <v>2.1723341036645756E-2</v>
      </c>
      <c r="E11" s="136"/>
      <c r="F11" s="136"/>
      <c r="G11" s="136"/>
      <c r="H11" s="136"/>
    </row>
    <row r="12" spans="2:17" x14ac:dyDescent="0.35">
      <c r="B12" s="171">
        <f>'Historical FS'!K3</f>
        <v>45747</v>
      </c>
      <c r="C12" s="167">
        <f>'Historical FS'!K6</f>
        <v>61328</v>
      </c>
      <c r="D12" s="168">
        <f t="shared" si="0"/>
        <v>-9.1766834690448496E-3</v>
      </c>
      <c r="E12" s="136"/>
      <c r="F12" s="136"/>
      <c r="G12" s="136"/>
      <c r="H12" s="136"/>
    </row>
    <row r="13" spans="2:17" x14ac:dyDescent="0.35">
      <c r="B13" s="171">
        <f>'Historical FS'!L3</f>
        <v>46112</v>
      </c>
      <c r="C13" s="167">
        <f>'Historical FS'!L6</f>
        <v>64468</v>
      </c>
      <c r="D13" s="168">
        <f t="shared" si="0"/>
        <v>5.1200104356900603E-2</v>
      </c>
      <c r="E13" s="136"/>
      <c r="F13" s="136"/>
      <c r="G13" s="136"/>
      <c r="H13" s="136"/>
    </row>
    <row r="14" spans="2:17" x14ac:dyDescent="0.35">
      <c r="B14" s="172">
        <f>'Historical FS'!M3</f>
        <v>46477</v>
      </c>
      <c r="C14" s="167">
        <f>'Historical FS'!M6</f>
        <v>70982.404077328276</v>
      </c>
      <c r="D14" s="168">
        <f t="shared" si="0"/>
        <v>0.10104864548812241</v>
      </c>
      <c r="E14" s="136"/>
      <c r="F14" s="136"/>
      <c r="G14" s="136"/>
      <c r="H14" s="136"/>
    </row>
    <row r="15" spans="2:17" x14ac:dyDescent="0.35">
      <c r="B15" s="172">
        <f>'Historical FS'!N3</f>
        <v>46842</v>
      </c>
      <c r="C15" s="167">
        <f>'Historical FS'!N6</f>
        <v>75182.241356538842</v>
      </c>
      <c r="D15" s="168">
        <f t="shared" si="0"/>
        <v>5.9167301161499972E-2</v>
      </c>
      <c r="E15" s="136"/>
      <c r="F15" s="136"/>
      <c r="G15" s="136"/>
      <c r="H15" s="136"/>
    </row>
    <row r="16" spans="2:17" x14ac:dyDescent="0.35">
      <c r="B16" s="172">
        <f>'Historical FS'!O3</f>
        <v>47207</v>
      </c>
      <c r="C16" s="167">
        <f>'Historical FS'!O6</f>
        <v>79176.450060808391</v>
      </c>
      <c r="D16" s="168">
        <f t="shared" si="0"/>
        <v>5.3127023512476862E-2</v>
      </c>
      <c r="E16" s="136"/>
      <c r="F16" s="136"/>
      <c r="G16" s="136"/>
      <c r="H16" s="136"/>
    </row>
    <row r="17" spans="2:8" x14ac:dyDescent="0.35">
      <c r="B17" s="172">
        <f>'Historical FS'!P3</f>
        <v>47572</v>
      </c>
      <c r="C17" s="167">
        <f>'Historical FS'!P6</f>
        <v>83129.770811451075</v>
      </c>
      <c r="D17" s="168">
        <f t="shared" si="0"/>
        <v>4.9930512767451564E-2</v>
      </c>
      <c r="E17" s="136"/>
      <c r="F17" s="136"/>
      <c r="G17" s="136"/>
      <c r="H17" s="136"/>
    </row>
    <row r="18" spans="2:8" x14ac:dyDescent="0.35">
      <c r="B18" s="172">
        <f>'Historical FS'!Q3</f>
        <v>47937</v>
      </c>
      <c r="C18" s="167">
        <f>'Historical FS'!Q6</f>
        <v>86132.087704457284</v>
      </c>
      <c r="D18" s="168">
        <f t="shared" si="0"/>
        <v>3.6116025145983464E-2</v>
      </c>
      <c r="E18" s="136"/>
      <c r="F18" s="136"/>
      <c r="G18" s="136"/>
      <c r="H18" s="136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1"/>
  <sheetViews>
    <sheetView topLeftCell="B1" zoomScale="76" workbookViewId="0">
      <selection activeCell="AC28" sqref="AC28"/>
    </sheetView>
  </sheetViews>
  <sheetFormatPr defaultRowHeight="14.5" x14ac:dyDescent="0.35"/>
  <cols>
    <col min="1" max="1" width="22.7265625" bestFit="1" customWidth="1"/>
    <col min="2" max="2" width="14.08984375" bestFit="1" customWidth="1"/>
    <col min="3" max="11" width="9.6328125" bestFit="1" customWidth="1"/>
    <col min="13" max="13" width="22.7265625" bestFit="1" customWidth="1"/>
    <col min="15" max="15" width="22.7265625" bestFit="1" customWidth="1"/>
    <col min="16" max="17" width="7.54296875" bestFit="1" customWidth="1"/>
    <col min="18" max="23" width="8.54296875" bestFit="1" customWidth="1"/>
    <col min="25" max="25" width="22.7265625" bestFit="1" customWidth="1"/>
    <col min="29" max="35" width="8.54296875" bestFit="1" customWidth="1"/>
  </cols>
  <sheetData>
    <row r="1" spans="1:35" x14ac:dyDescent="0.35">
      <c r="A1" s="1" t="s">
        <v>261</v>
      </c>
      <c r="B1" t="s">
        <v>262</v>
      </c>
      <c r="M1" s="1" t="s">
        <v>37</v>
      </c>
      <c r="N1" s="5"/>
      <c r="O1" s="1" t="s">
        <v>265</v>
      </c>
      <c r="P1" s="1"/>
      <c r="Q1" s="5"/>
      <c r="R1" s="5"/>
      <c r="S1" s="5"/>
      <c r="T1" s="5"/>
      <c r="U1" s="5"/>
      <c r="V1" s="5"/>
      <c r="W1" s="5"/>
      <c r="Y1" s="1" t="s">
        <v>37</v>
      </c>
      <c r="Z1" s="1" t="s">
        <v>267</v>
      </c>
      <c r="AA1" s="5"/>
      <c r="AB1" s="5"/>
      <c r="AC1" s="5"/>
      <c r="AD1" s="5"/>
      <c r="AE1" s="5"/>
      <c r="AF1" s="5"/>
      <c r="AG1" s="5"/>
      <c r="AH1" s="5"/>
      <c r="AI1" s="5"/>
    </row>
    <row r="2" spans="1:35" x14ac:dyDescent="0.35">
      <c r="A2" s="23" t="s">
        <v>38</v>
      </c>
      <c r="B2" s="16">
        <v>42825</v>
      </c>
      <c r="C2" s="16">
        <v>43190</v>
      </c>
      <c r="D2" s="16">
        <v>43555</v>
      </c>
      <c r="E2" s="16">
        <v>43921</v>
      </c>
      <c r="F2" s="16">
        <v>44286</v>
      </c>
      <c r="G2" s="16">
        <v>44651</v>
      </c>
      <c r="H2" s="16">
        <v>45016</v>
      </c>
      <c r="I2" s="16">
        <v>45382</v>
      </c>
      <c r="J2" s="16">
        <v>45747</v>
      </c>
      <c r="K2" s="16">
        <v>46112</v>
      </c>
      <c r="M2" s="23" t="s">
        <v>38</v>
      </c>
      <c r="N2" s="16"/>
      <c r="O2" s="16"/>
      <c r="P2" s="16">
        <v>43555</v>
      </c>
      <c r="Q2" s="16">
        <v>43921</v>
      </c>
      <c r="R2" s="16">
        <v>44286</v>
      </c>
      <c r="S2" s="16">
        <v>44651</v>
      </c>
      <c r="T2" s="16">
        <v>45016</v>
      </c>
      <c r="U2" s="16">
        <v>45382</v>
      </c>
      <c r="V2" s="16">
        <v>45747</v>
      </c>
      <c r="W2" s="16">
        <v>46112</v>
      </c>
      <c r="Y2" s="23" t="s">
        <v>38</v>
      </c>
      <c r="Z2" s="16"/>
      <c r="AA2" s="16"/>
      <c r="AB2" s="16"/>
      <c r="AC2" s="16">
        <v>43921</v>
      </c>
      <c r="AD2" s="16">
        <v>44286</v>
      </c>
      <c r="AE2" s="16">
        <v>44651</v>
      </c>
      <c r="AF2" s="16">
        <v>45016</v>
      </c>
      <c r="AG2" s="16">
        <v>45382</v>
      </c>
      <c r="AH2" s="16">
        <v>45747</v>
      </c>
      <c r="AI2" s="16">
        <v>46112</v>
      </c>
    </row>
    <row r="3" spans="1:35" x14ac:dyDescent="0.35">
      <c r="A3" s="9" t="s">
        <v>6</v>
      </c>
      <c r="B3">
        <v>42767.6</v>
      </c>
      <c r="C3">
        <v>43448.94</v>
      </c>
      <c r="D3">
        <v>48339.58</v>
      </c>
      <c r="E3">
        <v>49387.7</v>
      </c>
      <c r="F3">
        <v>49257.45</v>
      </c>
      <c r="G3">
        <v>60644.54</v>
      </c>
      <c r="H3">
        <v>70919.03</v>
      </c>
      <c r="I3">
        <v>67931.94</v>
      </c>
      <c r="J3">
        <v>75323.34</v>
      </c>
      <c r="K3">
        <v>78868.399999999994</v>
      </c>
      <c r="M3" s="9" t="s">
        <v>6</v>
      </c>
      <c r="N3" s="9"/>
      <c r="O3" s="9"/>
      <c r="P3">
        <v>491.91</v>
      </c>
      <c r="Q3">
        <v>771.9</v>
      </c>
      <c r="R3">
        <v>1386.35</v>
      </c>
      <c r="S3">
        <v>2040.1</v>
      </c>
      <c r="T3">
        <v>2598.13</v>
      </c>
      <c r="U3">
        <v>2754.71</v>
      </c>
      <c r="V3">
        <v>3564.38</v>
      </c>
      <c r="W3">
        <v>4251.04</v>
      </c>
      <c r="Y3" s="9" t="s">
        <v>6</v>
      </c>
      <c r="Z3" s="9"/>
      <c r="AA3" s="9"/>
      <c r="AB3" s="9"/>
      <c r="AC3">
        <v>1459.15</v>
      </c>
      <c r="AD3">
        <v>1538.17</v>
      </c>
      <c r="AE3">
        <v>1702.33</v>
      </c>
      <c r="AF3">
        <v>2014.69</v>
      </c>
      <c r="AG3">
        <v>1686.67</v>
      </c>
      <c r="AH3">
        <v>1870.25</v>
      </c>
      <c r="AI3">
        <v>1987.94</v>
      </c>
    </row>
    <row r="4" spans="1:35" x14ac:dyDescent="0.35">
      <c r="A4" s="5" t="s">
        <v>80</v>
      </c>
      <c r="B4">
        <v>15456.59</v>
      </c>
      <c r="C4">
        <v>14827.72</v>
      </c>
      <c r="D4">
        <v>17623.52</v>
      </c>
      <c r="E4">
        <v>18048.599999999999</v>
      </c>
      <c r="F4">
        <v>20776.71</v>
      </c>
      <c r="G4">
        <v>27071.07</v>
      </c>
      <c r="H4">
        <v>29364.36</v>
      </c>
      <c r="I4">
        <v>27348.57</v>
      </c>
      <c r="J4">
        <v>32704.37</v>
      </c>
      <c r="K4">
        <v>35098.339999999997</v>
      </c>
      <c r="M4" s="5" t="s">
        <v>80</v>
      </c>
      <c r="N4" s="9"/>
      <c r="O4" s="9"/>
      <c r="P4">
        <v>341.3</v>
      </c>
      <c r="Q4">
        <v>574.84</v>
      </c>
      <c r="R4">
        <v>1064.92</v>
      </c>
      <c r="S4">
        <v>1576.81</v>
      </c>
      <c r="T4">
        <v>1796.66</v>
      </c>
      <c r="U4">
        <v>1895.35</v>
      </c>
      <c r="V4">
        <v>2304.66</v>
      </c>
      <c r="W4">
        <v>3349.62</v>
      </c>
      <c r="Y4" s="5" t="s">
        <v>80</v>
      </c>
      <c r="Z4" s="9"/>
      <c r="AA4" s="9"/>
      <c r="AB4" s="9"/>
      <c r="AC4">
        <v>889.68</v>
      </c>
      <c r="AD4">
        <v>1094.93</v>
      </c>
      <c r="AE4">
        <v>1230.02</v>
      </c>
      <c r="AF4">
        <v>1323.7</v>
      </c>
      <c r="AG4">
        <v>1545.46</v>
      </c>
      <c r="AH4">
        <v>1260.55</v>
      </c>
      <c r="AI4">
        <v>1517.97</v>
      </c>
    </row>
    <row r="5" spans="1:35" x14ac:dyDescent="0.35">
      <c r="A5" s="5" t="s">
        <v>81</v>
      </c>
      <c r="B5">
        <v>-592.57000000000005</v>
      </c>
      <c r="C5">
        <v>-1027.76</v>
      </c>
      <c r="D5">
        <v>203.19</v>
      </c>
      <c r="E5">
        <v>703.13</v>
      </c>
      <c r="F5">
        <v>645.27</v>
      </c>
      <c r="G5">
        <v>686</v>
      </c>
      <c r="H5">
        <v>358.59</v>
      </c>
      <c r="I5">
        <v>367.77</v>
      </c>
      <c r="J5">
        <v>725.65</v>
      </c>
      <c r="K5">
        <v>2550.46</v>
      </c>
      <c r="M5" s="5" t="s">
        <v>81</v>
      </c>
      <c r="N5" s="9"/>
      <c r="O5" s="9"/>
      <c r="P5">
        <v>7.2</v>
      </c>
      <c r="Q5">
        <v>30.41</v>
      </c>
      <c r="R5">
        <v>9.26</v>
      </c>
      <c r="S5">
        <v>35.69</v>
      </c>
      <c r="T5">
        <v>14.2</v>
      </c>
      <c r="U5">
        <v>59.83</v>
      </c>
      <c r="V5">
        <v>37.799999999999997</v>
      </c>
      <c r="W5">
        <v>21.85</v>
      </c>
      <c r="Y5" s="5" t="s">
        <v>81</v>
      </c>
      <c r="Z5" s="9"/>
      <c r="AA5" s="9"/>
      <c r="AB5" s="9"/>
      <c r="AC5">
        <v>-182.16</v>
      </c>
      <c r="AD5">
        <v>37.69</v>
      </c>
      <c r="AE5">
        <v>41.53</v>
      </c>
      <c r="AF5">
        <v>-60.31</v>
      </c>
      <c r="AG5">
        <v>368.43</v>
      </c>
      <c r="AH5">
        <v>-124.61</v>
      </c>
      <c r="AI5">
        <v>91.36</v>
      </c>
    </row>
    <row r="6" spans="1:35" x14ac:dyDescent="0.35">
      <c r="A6" s="5" t="s">
        <v>82</v>
      </c>
      <c r="B6">
        <v>584.33000000000004</v>
      </c>
      <c r="C6">
        <v>653.5</v>
      </c>
      <c r="D6">
        <v>746.73</v>
      </c>
      <c r="E6">
        <v>780.85</v>
      </c>
      <c r="F6">
        <v>699.56</v>
      </c>
      <c r="G6">
        <v>889.77</v>
      </c>
      <c r="H6">
        <v>1232.3399999999999</v>
      </c>
      <c r="I6">
        <v>952.9</v>
      </c>
      <c r="J6">
        <v>975.35</v>
      </c>
      <c r="K6" s="9"/>
      <c r="M6" s="5" t="s">
        <v>82</v>
      </c>
      <c r="N6" s="9"/>
      <c r="O6" s="9"/>
      <c r="P6">
        <v>8.82</v>
      </c>
      <c r="Q6">
        <v>9.64</v>
      </c>
      <c r="R6">
        <v>13.3</v>
      </c>
      <c r="S6">
        <v>20.63</v>
      </c>
      <c r="T6">
        <v>31.6</v>
      </c>
      <c r="U6">
        <v>39.92</v>
      </c>
      <c r="V6">
        <v>62.02</v>
      </c>
      <c r="W6" s="9"/>
      <c r="Y6" s="5" t="s">
        <v>82</v>
      </c>
      <c r="Z6" s="9"/>
      <c r="AA6" s="9"/>
      <c r="AB6" s="9"/>
      <c r="AC6">
        <v>78.75</v>
      </c>
      <c r="AD6">
        <v>83.79</v>
      </c>
      <c r="AE6">
        <v>99.74</v>
      </c>
      <c r="AF6">
        <v>146.16</v>
      </c>
      <c r="AG6">
        <v>80.13</v>
      </c>
      <c r="AH6">
        <v>71.739999999999995</v>
      </c>
      <c r="AI6" s="9"/>
    </row>
    <row r="7" spans="1:35" x14ac:dyDescent="0.35">
      <c r="A7" s="5" t="s">
        <v>83</v>
      </c>
      <c r="B7">
        <v>1683.9</v>
      </c>
      <c r="C7">
        <v>1697.62</v>
      </c>
      <c r="D7">
        <v>1871.01</v>
      </c>
      <c r="E7">
        <v>1908.29</v>
      </c>
      <c r="F7">
        <v>1587.18</v>
      </c>
      <c r="G7">
        <v>1887.67</v>
      </c>
      <c r="H7">
        <v>2327.8000000000002</v>
      </c>
      <c r="I7">
        <v>2183.7600000000002</v>
      </c>
      <c r="J7">
        <v>2345.36</v>
      </c>
      <c r="K7" s="9"/>
      <c r="M7" s="5" t="s">
        <v>83</v>
      </c>
      <c r="N7" s="9"/>
      <c r="O7" s="9"/>
      <c r="P7">
        <v>81.37</v>
      </c>
      <c r="Q7">
        <v>121.58</v>
      </c>
      <c r="R7">
        <v>182.72</v>
      </c>
      <c r="S7">
        <v>295.94</v>
      </c>
      <c r="T7">
        <v>524.12</v>
      </c>
      <c r="U7">
        <v>530.41</v>
      </c>
      <c r="V7">
        <v>646.69000000000005</v>
      </c>
      <c r="W7" s="9"/>
      <c r="Y7" s="5" t="s">
        <v>83</v>
      </c>
      <c r="Z7" s="9"/>
      <c r="AA7" s="9"/>
      <c r="AB7" s="9"/>
      <c r="AC7">
        <v>66.7</v>
      </c>
      <c r="AD7">
        <v>76.540000000000006</v>
      </c>
      <c r="AE7">
        <v>91.34</v>
      </c>
      <c r="AF7">
        <v>105.73</v>
      </c>
      <c r="AG7">
        <v>98.48</v>
      </c>
      <c r="AH7">
        <v>99.04</v>
      </c>
      <c r="AI7" s="9"/>
    </row>
    <row r="8" spans="1:35" x14ac:dyDescent="0.35">
      <c r="A8" s="5" t="s">
        <v>84</v>
      </c>
      <c r="B8">
        <v>3631.73</v>
      </c>
      <c r="C8">
        <v>3760.9</v>
      </c>
      <c r="D8">
        <v>4177.88</v>
      </c>
      <c r="E8">
        <v>4295.79</v>
      </c>
      <c r="F8">
        <v>4463.33</v>
      </c>
      <c r="G8">
        <v>4890.55</v>
      </c>
      <c r="H8">
        <v>5736.22</v>
      </c>
      <c r="I8">
        <v>5548.53</v>
      </c>
      <c r="J8">
        <v>6169.78</v>
      </c>
      <c r="K8">
        <v>6781.5</v>
      </c>
      <c r="M8" s="5" t="s">
        <v>84</v>
      </c>
      <c r="N8" s="9"/>
      <c r="O8" s="9"/>
      <c r="P8">
        <v>18.54</v>
      </c>
      <c r="Q8">
        <v>24.31</v>
      </c>
      <c r="R8">
        <v>30.68</v>
      </c>
      <c r="S8">
        <v>40.9</v>
      </c>
      <c r="T8">
        <v>55.79</v>
      </c>
      <c r="U8">
        <v>82.85</v>
      </c>
      <c r="V8">
        <v>222.6</v>
      </c>
      <c r="W8">
        <v>252.51</v>
      </c>
      <c r="Y8" s="5" t="s">
        <v>84</v>
      </c>
      <c r="Z8" s="9"/>
      <c r="AA8" s="9"/>
      <c r="AB8" s="9"/>
      <c r="AC8">
        <v>84.46</v>
      </c>
      <c r="AD8">
        <v>85.79</v>
      </c>
      <c r="AE8">
        <v>99.61</v>
      </c>
      <c r="AF8">
        <v>116.82</v>
      </c>
      <c r="AG8">
        <v>118.45</v>
      </c>
      <c r="AH8">
        <v>125.71</v>
      </c>
      <c r="AI8">
        <v>135.22</v>
      </c>
    </row>
    <row r="9" spans="1:35" x14ac:dyDescent="0.35">
      <c r="A9" s="5" t="s">
        <v>85</v>
      </c>
      <c r="B9">
        <v>4179.74</v>
      </c>
      <c r="C9">
        <v>3954.87</v>
      </c>
      <c r="D9">
        <v>4546.3900000000003</v>
      </c>
      <c r="E9">
        <v>4488.63</v>
      </c>
      <c r="F9">
        <v>4236.7700000000004</v>
      </c>
      <c r="G9">
        <v>4858.38</v>
      </c>
      <c r="H9">
        <v>5604.08</v>
      </c>
      <c r="I9">
        <v>5312.45</v>
      </c>
      <c r="J9">
        <v>5793.29</v>
      </c>
      <c r="K9" s="9"/>
      <c r="M9" s="5" t="s">
        <v>85</v>
      </c>
      <c r="N9" s="9"/>
      <c r="O9" s="9"/>
      <c r="P9">
        <v>12.95</v>
      </c>
      <c r="Q9">
        <v>14.32</v>
      </c>
      <c r="R9">
        <v>17.73</v>
      </c>
      <c r="S9">
        <v>22.85</v>
      </c>
      <c r="T9">
        <v>26.45</v>
      </c>
      <c r="U9">
        <v>35.950000000000003</v>
      </c>
      <c r="V9">
        <v>63.24</v>
      </c>
      <c r="W9" s="9"/>
      <c r="Y9" s="5" t="s">
        <v>85</v>
      </c>
      <c r="Z9" s="9"/>
      <c r="AA9" s="9"/>
      <c r="AB9" s="9"/>
      <c r="AC9">
        <v>50.8</v>
      </c>
      <c r="AD9">
        <v>68.260000000000005</v>
      </c>
      <c r="AE9">
        <v>82.95</v>
      </c>
      <c r="AF9">
        <v>112.97</v>
      </c>
      <c r="AG9">
        <v>78.05</v>
      </c>
      <c r="AH9">
        <v>82.07</v>
      </c>
      <c r="AI9" s="9"/>
    </row>
    <row r="10" spans="1:35" x14ac:dyDescent="0.35">
      <c r="A10" s="5" t="s">
        <v>86</v>
      </c>
      <c r="B10">
        <v>1169.23</v>
      </c>
      <c r="C10">
        <v>1005.98</v>
      </c>
      <c r="D10">
        <v>1039.8499999999999</v>
      </c>
      <c r="E10">
        <v>1225.1300000000001</v>
      </c>
      <c r="F10">
        <v>1074.3900000000001</v>
      </c>
      <c r="G10">
        <v>1109.95</v>
      </c>
      <c r="H10">
        <v>1308.56</v>
      </c>
      <c r="I10">
        <v>1765.97</v>
      </c>
      <c r="J10">
        <v>2221.39</v>
      </c>
      <c r="K10">
        <v>12221.11</v>
      </c>
      <c r="M10" s="5" t="s">
        <v>86</v>
      </c>
      <c r="N10" s="9"/>
      <c r="O10" s="9"/>
      <c r="P10">
        <v>3.57</v>
      </c>
      <c r="Q10">
        <v>2.61</v>
      </c>
      <c r="R10">
        <v>4.8</v>
      </c>
      <c r="S10">
        <v>6.02</v>
      </c>
      <c r="T10">
        <v>4.3600000000000003</v>
      </c>
      <c r="U10">
        <v>8.14</v>
      </c>
      <c r="V10">
        <v>8.5299999999999994</v>
      </c>
      <c r="W10">
        <v>307.82</v>
      </c>
      <c r="Y10" s="5" t="s">
        <v>86</v>
      </c>
      <c r="Z10" s="9"/>
      <c r="AA10" s="9"/>
      <c r="AB10" s="9"/>
      <c r="AC10">
        <v>3.27</v>
      </c>
      <c r="AD10">
        <v>8.93</v>
      </c>
      <c r="AE10">
        <v>6.05</v>
      </c>
      <c r="AF10">
        <v>1.55</v>
      </c>
      <c r="AG10">
        <v>0.77</v>
      </c>
      <c r="AH10">
        <v>2.64</v>
      </c>
      <c r="AI10">
        <v>298.99</v>
      </c>
    </row>
    <row r="11" spans="1:35" x14ac:dyDescent="0.35">
      <c r="A11" s="9" t="s">
        <v>9</v>
      </c>
      <c r="B11">
        <v>1758.63</v>
      </c>
      <c r="C11">
        <v>2239.81</v>
      </c>
      <c r="D11">
        <v>2080.44</v>
      </c>
      <c r="E11">
        <v>2417.3200000000002</v>
      </c>
      <c r="F11">
        <v>2576.9499999999998</v>
      </c>
      <c r="G11">
        <v>1909.72</v>
      </c>
      <c r="H11">
        <v>2097.64</v>
      </c>
      <c r="I11">
        <v>3330.45</v>
      </c>
      <c r="J11">
        <v>17794.88</v>
      </c>
      <c r="K11">
        <v>2511.1799999999998</v>
      </c>
      <c r="M11" s="9" t="s">
        <v>9</v>
      </c>
      <c r="N11" s="9"/>
      <c r="O11" s="9"/>
      <c r="P11">
        <v>0.65</v>
      </c>
      <c r="Q11">
        <v>1.21</v>
      </c>
      <c r="R11">
        <v>2.66</v>
      </c>
      <c r="S11">
        <v>3.69</v>
      </c>
      <c r="T11">
        <v>4.51</v>
      </c>
      <c r="U11">
        <v>7.17</v>
      </c>
      <c r="V11">
        <v>14.55</v>
      </c>
      <c r="W11">
        <v>9.08</v>
      </c>
      <c r="Y11" s="9" t="s">
        <v>9</v>
      </c>
      <c r="Z11" s="9"/>
      <c r="AA11" s="9"/>
      <c r="AB11" s="9"/>
      <c r="AC11">
        <v>13.65</v>
      </c>
      <c r="AD11">
        <v>8.2100000000000009</v>
      </c>
      <c r="AE11">
        <v>6.38</v>
      </c>
      <c r="AF11">
        <v>7.17</v>
      </c>
      <c r="AG11">
        <v>14.17</v>
      </c>
      <c r="AH11">
        <v>16.420000000000002</v>
      </c>
      <c r="AI11">
        <v>-18.93</v>
      </c>
    </row>
    <row r="12" spans="1:35" x14ac:dyDescent="0.35">
      <c r="A12" s="9" t="s">
        <v>10</v>
      </c>
      <c r="B12">
        <v>1152.79</v>
      </c>
      <c r="C12">
        <v>1236.28</v>
      </c>
      <c r="D12">
        <v>1396.61</v>
      </c>
      <c r="E12">
        <v>1644.91</v>
      </c>
      <c r="F12">
        <v>1645.59</v>
      </c>
      <c r="G12">
        <v>1732.41</v>
      </c>
      <c r="H12">
        <v>1809.01</v>
      </c>
      <c r="I12">
        <v>1518.05</v>
      </c>
      <c r="J12">
        <v>1646.32</v>
      </c>
      <c r="K12">
        <v>1710.53</v>
      </c>
      <c r="M12" s="9" t="s">
        <v>10</v>
      </c>
      <c r="N12" s="9"/>
      <c r="O12" s="9"/>
      <c r="P12">
        <v>7.46</v>
      </c>
      <c r="Q12">
        <v>11.28</v>
      </c>
      <c r="R12">
        <v>17.2</v>
      </c>
      <c r="S12">
        <v>24.51</v>
      </c>
      <c r="T12">
        <v>37.409999999999997</v>
      </c>
      <c r="U12">
        <v>54.8</v>
      </c>
      <c r="V12">
        <v>79.73</v>
      </c>
      <c r="W12">
        <v>90.08</v>
      </c>
      <c r="Y12" s="9" t="s">
        <v>10</v>
      </c>
      <c r="Z12" s="9"/>
      <c r="AA12" s="9"/>
      <c r="AB12" s="9"/>
      <c r="AC12">
        <v>44.95</v>
      </c>
      <c r="AD12">
        <v>47.13</v>
      </c>
      <c r="AE12">
        <v>48.03</v>
      </c>
      <c r="AF12">
        <v>50.08</v>
      </c>
      <c r="AG12">
        <v>59.93</v>
      </c>
      <c r="AH12">
        <v>50.06</v>
      </c>
      <c r="AI12">
        <v>54.49</v>
      </c>
    </row>
    <row r="13" spans="1:35" x14ac:dyDescent="0.35">
      <c r="A13" s="9" t="s">
        <v>11</v>
      </c>
      <c r="B13">
        <v>49.03</v>
      </c>
      <c r="C13">
        <v>115.01</v>
      </c>
      <c r="D13">
        <v>71.400000000000006</v>
      </c>
      <c r="E13">
        <v>81.38</v>
      </c>
      <c r="F13">
        <v>57.97</v>
      </c>
      <c r="G13">
        <v>59.99</v>
      </c>
      <c r="H13">
        <v>77.77</v>
      </c>
      <c r="I13">
        <v>39.11</v>
      </c>
      <c r="J13">
        <v>45.06</v>
      </c>
      <c r="K13">
        <v>85.17</v>
      </c>
      <c r="M13" s="9" t="s">
        <v>11</v>
      </c>
      <c r="N13" s="9"/>
      <c r="O13" s="9"/>
      <c r="P13">
        <v>7.52</v>
      </c>
      <c r="Q13">
        <v>11.13</v>
      </c>
      <c r="R13">
        <v>18.86</v>
      </c>
      <c r="S13">
        <v>20.34</v>
      </c>
      <c r="T13">
        <v>35.950000000000003</v>
      </c>
      <c r="U13">
        <v>56.88</v>
      </c>
      <c r="V13">
        <v>81.33</v>
      </c>
      <c r="W13">
        <v>82.3</v>
      </c>
      <c r="Y13" s="9" t="s">
        <v>11</v>
      </c>
      <c r="Z13" s="9"/>
      <c r="AA13" s="9"/>
      <c r="AB13" s="9"/>
      <c r="AC13">
        <v>68.739999999999995</v>
      </c>
      <c r="AD13">
        <v>72.38</v>
      </c>
      <c r="AE13">
        <v>60.44</v>
      </c>
      <c r="AF13">
        <v>72.790000000000006</v>
      </c>
      <c r="AG13">
        <v>75.56</v>
      </c>
      <c r="AH13">
        <v>71.790000000000006</v>
      </c>
      <c r="AI13">
        <v>49.13</v>
      </c>
    </row>
    <row r="14" spans="1:35" x14ac:dyDescent="0.35">
      <c r="A14" s="9" t="s">
        <v>12</v>
      </c>
      <c r="B14">
        <v>16026.32</v>
      </c>
      <c r="C14">
        <v>17409.11</v>
      </c>
      <c r="D14">
        <v>19149.82</v>
      </c>
      <c r="E14">
        <v>20034.57</v>
      </c>
      <c r="F14">
        <v>17938.169999999998</v>
      </c>
      <c r="G14">
        <v>20740.47</v>
      </c>
      <c r="H14">
        <v>25915.119999999999</v>
      </c>
      <c r="I14">
        <v>26960.82</v>
      </c>
      <c r="J14">
        <v>41942.949999999997</v>
      </c>
      <c r="K14">
        <v>28033.39</v>
      </c>
      <c r="M14" s="9" t="s">
        <v>12</v>
      </c>
      <c r="N14" s="9"/>
      <c r="O14" s="9"/>
      <c r="P14">
        <v>18.23</v>
      </c>
      <c r="Q14">
        <v>33.81</v>
      </c>
      <c r="R14">
        <v>48.06</v>
      </c>
      <c r="S14">
        <v>71.48</v>
      </c>
      <c r="T14">
        <v>104.5</v>
      </c>
      <c r="U14">
        <v>117.41</v>
      </c>
      <c r="V14">
        <v>147.93</v>
      </c>
      <c r="W14">
        <v>199.64</v>
      </c>
      <c r="Y14" s="9" t="s">
        <v>12</v>
      </c>
      <c r="Z14" s="9"/>
      <c r="AA14" s="9"/>
      <c r="AB14" s="9"/>
      <c r="AC14">
        <v>3.29</v>
      </c>
      <c r="AD14">
        <v>46.32</v>
      </c>
      <c r="AE14">
        <v>32.06</v>
      </c>
      <c r="AF14">
        <v>31.75</v>
      </c>
      <c r="AG14">
        <v>12.44</v>
      </c>
      <c r="AH14">
        <v>-1.54</v>
      </c>
      <c r="AI14">
        <v>4.57</v>
      </c>
    </row>
    <row r="15" spans="1:35" x14ac:dyDescent="0.35">
      <c r="A15" s="9" t="s">
        <v>13</v>
      </c>
      <c r="B15">
        <v>5549.09</v>
      </c>
      <c r="C15">
        <v>5916.43</v>
      </c>
      <c r="D15">
        <v>6313.92</v>
      </c>
      <c r="E15">
        <v>4441.79</v>
      </c>
      <c r="F15">
        <v>4555.29</v>
      </c>
      <c r="G15">
        <v>5237.34</v>
      </c>
      <c r="H15">
        <v>6438.4</v>
      </c>
      <c r="I15">
        <v>6209.46</v>
      </c>
      <c r="J15">
        <v>6890.47</v>
      </c>
      <c r="K15">
        <v>7015.24</v>
      </c>
      <c r="M15" s="9" t="s">
        <v>13</v>
      </c>
      <c r="N15" s="9"/>
      <c r="O15" s="9"/>
      <c r="P15">
        <v>6.31</v>
      </c>
      <c r="Q15">
        <v>11.9</v>
      </c>
      <c r="R15">
        <v>13.67</v>
      </c>
      <c r="S15">
        <v>26.82</v>
      </c>
      <c r="T15">
        <v>33.39</v>
      </c>
      <c r="U15">
        <v>24.39</v>
      </c>
      <c r="V15">
        <v>38.29</v>
      </c>
      <c r="W15">
        <v>50.61</v>
      </c>
      <c r="Y15" s="9" t="s">
        <v>13</v>
      </c>
      <c r="Z15" s="9"/>
      <c r="AA15" s="9"/>
      <c r="AB15" s="9"/>
      <c r="AC15">
        <v>-0.78</v>
      </c>
      <c r="AD15">
        <v>19.170000000000002</v>
      </c>
      <c r="AE15">
        <v>12.97</v>
      </c>
      <c r="AF15">
        <v>12.12</v>
      </c>
      <c r="AG15">
        <v>0.15</v>
      </c>
      <c r="AH15">
        <v>21.88</v>
      </c>
      <c r="AI15">
        <v>1.04</v>
      </c>
    </row>
    <row r="16" spans="1:35" x14ac:dyDescent="0.35">
      <c r="A16" s="9" t="s">
        <v>14</v>
      </c>
      <c r="B16">
        <v>10289.44</v>
      </c>
      <c r="C16">
        <v>11271.2</v>
      </c>
      <c r="D16">
        <v>12592.33</v>
      </c>
      <c r="E16">
        <v>15306.23</v>
      </c>
      <c r="F16">
        <v>13161.19</v>
      </c>
      <c r="G16">
        <v>15242.66</v>
      </c>
      <c r="H16">
        <v>19191.66</v>
      </c>
      <c r="I16">
        <v>20458.78</v>
      </c>
      <c r="J16">
        <v>34746.629999999997</v>
      </c>
      <c r="K16">
        <v>20689.47</v>
      </c>
      <c r="M16" s="9" t="s">
        <v>14</v>
      </c>
      <c r="N16" s="9"/>
      <c r="O16" s="9"/>
      <c r="P16">
        <v>11.91</v>
      </c>
      <c r="Q16">
        <v>21.91</v>
      </c>
      <c r="R16">
        <v>34.4</v>
      </c>
      <c r="S16">
        <v>44.66</v>
      </c>
      <c r="T16">
        <v>71.12</v>
      </c>
      <c r="U16">
        <v>93.02</v>
      </c>
      <c r="V16">
        <v>109.64</v>
      </c>
      <c r="W16">
        <v>149.03</v>
      </c>
      <c r="Y16" s="9" t="s">
        <v>14</v>
      </c>
      <c r="Z16" s="9"/>
      <c r="AA16" s="9"/>
      <c r="AB16" s="9"/>
      <c r="AC16">
        <v>4.0599999999999996</v>
      </c>
      <c r="AD16">
        <v>27.15</v>
      </c>
      <c r="AE16">
        <v>19.100000000000001</v>
      </c>
      <c r="AF16">
        <v>19.64</v>
      </c>
      <c r="AG16">
        <v>12.3</v>
      </c>
      <c r="AH16">
        <v>-23.41</v>
      </c>
      <c r="AI16">
        <v>3.53</v>
      </c>
    </row>
    <row r="17" spans="1:35" x14ac:dyDescent="0.35">
      <c r="A17" s="9" t="s">
        <v>70</v>
      </c>
      <c r="B17">
        <v>5770.02</v>
      </c>
      <c r="C17">
        <v>6285.21</v>
      </c>
      <c r="D17">
        <v>7048.7</v>
      </c>
      <c r="E17">
        <v>12476.58</v>
      </c>
      <c r="F17">
        <v>13231.96</v>
      </c>
      <c r="G17">
        <v>14171.8</v>
      </c>
      <c r="H17">
        <v>19263.400000000001</v>
      </c>
      <c r="I17">
        <v>17166.46</v>
      </c>
      <c r="J17">
        <v>17957.73</v>
      </c>
      <c r="K17">
        <v>18167.78</v>
      </c>
      <c r="M17" s="9" t="s">
        <v>70</v>
      </c>
      <c r="N17" s="9"/>
      <c r="O17" s="9"/>
      <c r="P17" s="9"/>
      <c r="Q17" s="9"/>
      <c r="R17" s="9"/>
      <c r="S17" s="9"/>
      <c r="T17" s="9"/>
      <c r="U17" s="9"/>
      <c r="V17" s="9"/>
      <c r="W17" s="9"/>
      <c r="Y17" s="9" t="s">
        <v>70</v>
      </c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35"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35">
      <c r="A19" s="161" t="s">
        <v>263</v>
      </c>
      <c r="M19" s="1" t="s">
        <v>40</v>
      </c>
      <c r="N19" s="5"/>
      <c r="O19" s="5"/>
      <c r="P19" s="5"/>
      <c r="Q19" s="5"/>
      <c r="R19" s="5"/>
      <c r="S19" s="5"/>
      <c r="T19" s="5"/>
      <c r="U19" s="5"/>
      <c r="V19" s="5"/>
      <c r="W19" s="5"/>
      <c r="Y19" s="1" t="s">
        <v>40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x14ac:dyDescent="0.35">
      <c r="A20" s="23" t="s">
        <v>38</v>
      </c>
      <c r="B20" s="16">
        <v>42825</v>
      </c>
      <c r="C20" s="16">
        <v>43190</v>
      </c>
      <c r="D20" s="16">
        <v>43555</v>
      </c>
      <c r="E20" s="16">
        <v>43921</v>
      </c>
      <c r="F20" s="16">
        <v>44286</v>
      </c>
      <c r="G20" s="16">
        <v>44651</v>
      </c>
      <c r="H20" s="16">
        <v>45016</v>
      </c>
      <c r="I20" s="16">
        <v>45382</v>
      </c>
      <c r="J20" s="16">
        <v>45747</v>
      </c>
      <c r="K20" s="16">
        <v>46112</v>
      </c>
      <c r="M20" s="23" t="s">
        <v>38</v>
      </c>
      <c r="N20" s="16"/>
      <c r="O20" s="16"/>
      <c r="P20" s="16">
        <v>43555</v>
      </c>
      <c r="Q20" s="16">
        <v>43921</v>
      </c>
      <c r="R20" s="16">
        <v>44286</v>
      </c>
      <c r="S20" s="16">
        <v>44651</v>
      </c>
      <c r="T20" s="16">
        <v>45016</v>
      </c>
      <c r="U20" s="16">
        <v>45382</v>
      </c>
      <c r="V20" s="16">
        <v>45747</v>
      </c>
      <c r="W20" s="16">
        <v>46112</v>
      </c>
      <c r="Y20" s="23" t="s">
        <v>38</v>
      </c>
      <c r="Z20" s="16"/>
      <c r="AA20" s="16"/>
      <c r="AB20" s="16"/>
      <c r="AC20" s="16">
        <v>43921</v>
      </c>
      <c r="AD20" s="16">
        <v>44286</v>
      </c>
      <c r="AE20" s="16">
        <v>44651</v>
      </c>
      <c r="AF20" s="16">
        <v>45016</v>
      </c>
      <c r="AG20" s="16">
        <v>45382</v>
      </c>
      <c r="AH20" s="16">
        <v>45747</v>
      </c>
      <c r="AI20" s="16">
        <v>46112</v>
      </c>
    </row>
    <row r="21" spans="1:35" x14ac:dyDescent="0.35">
      <c r="A21" s="9" t="s">
        <v>24</v>
      </c>
      <c r="B21">
        <v>1214.74</v>
      </c>
      <c r="C21">
        <v>1220.43</v>
      </c>
      <c r="D21">
        <v>1225.8599999999999</v>
      </c>
      <c r="E21">
        <v>1229.22</v>
      </c>
      <c r="F21">
        <v>1230.8800000000001</v>
      </c>
      <c r="G21">
        <v>1232.33</v>
      </c>
      <c r="H21">
        <v>1242.8</v>
      </c>
      <c r="I21">
        <v>1248.47</v>
      </c>
      <c r="J21">
        <v>1251.4100000000001</v>
      </c>
      <c r="K21">
        <v>1252.95</v>
      </c>
      <c r="M21" s="9" t="s">
        <v>24</v>
      </c>
      <c r="N21" s="5"/>
      <c r="O21" s="5"/>
      <c r="P21">
        <v>13.49</v>
      </c>
      <c r="Q21">
        <v>21.2</v>
      </c>
      <c r="R21">
        <v>21.2</v>
      </c>
      <c r="S21">
        <v>22.55</v>
      </c>
      <c r="T21">
        <v>22.55</v>
      </c>
      <c r="U21">
        <v>22.91</v>
      </c>
      <c r="V21">
        <v>23.5</v>
      </c>
      <c r="W21">
        <v>23.9</v>
      </c>
      <c r="Y21" s="9" t="s">
        <v>24</v>
      </c>
      <c r="Z21" s="5"/>
      <c r="AA21" s="5"/>
      <c r="AB21" s="5"/>
      <c r="AC21">
        <v>41.94</v>
      </c>
      <c r="AD21">
        <v>41.94</v>
      </c>
      <c r="AE21">
        <v>41.94</v>
      </c>
      <c r="AF21">
        <v>41.94</v>
      </c>
      <c r="AG21">
        <v>41.94</v>
      </c>
      <c r="AH21">
        <v>51.18</v>
      </c>
      <c r="AI21">
        <v>51.18</v>
      </c>
    </row>
    <row r="22" spans="1:35" x14ac:dyDescent="0.35">
      <c r="A22" s="9" t="s">
        <v>25</v>
      </c>
      <c r="B22">
        <v>45198.19</v>
      </c>
      <c r="C22">
        <v>51289.68</v>
      </c>
      <c r="D22">
        <v>57915.01</v>
      </c>
      <c r="E22">
        <v>64044.04</v>
      </c>
      <c r="F22">
        <v>59116.46</v>
      </c>
      <c r="G22">
        <v>61223.24</v>
      </c>
      <c r="H22">
        <v>67912.460000000006</v>
      </c>
      <c r="I22">
        <v>73258.53</v>
      </c>
      <c r="J22">
        <v>68778.64</v>
      </c>
      <c r="K22">
        <v>71254.350000000006</v>
      </c>
      <c r="M22" s="9" t="s">
        <v>25</v>
      </c>
      <c r="N22" s="5"/>
      <c r="O22" s="5"/>
      <c r="P22">
        <v>50.87</v>
      </c>
      <c r="Q22">
        <v>164.98</v>
      </c>
      <c r="R22">
        <v>199.47</v>
      </c>
      <c r="S22">
        <v>280.72000000000003</v>
      </c>
      <c r="T22">
        <v>351.52</v>
      </c>
      <c r="U22">
        <v>623.22</v>
      </c>
      <c r="V22">
        <v>867.52</v>
      </c>
      <c r="W22">
        <v>1141.18</v>
      </c>
      <c r="Y22" s="9" t="s">
        <v>25</v>
      </c>
      <c r="Z22" s="5"/>
      <c r="AA22" s="5"/>
      <c r="AB22" s="5"/>
      <c r="AC22">
        <v>385.19</v>
      </c>
      <c r="AD22">
        <v>411.98</v>
      </c>
      <c r="AE22">
        <v>431.06</v>
      </c>
      <c r="AF22">
        <v>447.51</v>
      </c>
      <c r="AG22">
        <v>458.74</v>
      </c>
      <c r="AH22">
        <v>730.79</v>
      </c>
      <c r="AI22">
        <v>737.11</v>
      </c>
    </row>
    <row r="23" spans="1:35" x14ac:dyDescent="0.35">
      <c r="A23" s="9" t="s">
        <v>71</v>
      </c>
      <c r="B23">
        <v>45.72</v>
      </c>
      <c r="C23">
        <v>35.92</v>
      </c>
      <c r="D23">
        <v>13.44</v>
      </c>
      <c r="E23">
        <v>277.45</v>
      </c>
      <c r="F23">
        <v>270.83</v>
      </c>
      <c r="G23">
        <v>249.44</v>
      </c>
      <c r="H23">
        <v>306.04000000000002</v>
      </c>
      <c r="I23">
        <v>303.43</v>
      </c>
      <c r="J23">
        <v>284.54000000000002</v>
      </c>
      <c r="K23">
        <v>2399.06</v>
      </c>
      <c r="M23" s="9" t="s">
        <v>71</v>
      </c>
      <c r="N23" s="5"/>
      <c r="O23" s="5"/>
      <c r="P23">
        <v>99.5</v>
      </c>
      <c r="Q23">
        <v>165.07</v>
      </c>
      <c r="R23">
        <v>217.8</v>
      </c>
      <c r="S23">
        <v>350.2</v>
      </c>
      <c r="T23">
        <v>515.79999999999995</v>
      </c>
      <c r="U23">
        <v>726.52</v>
      </c>
      <c r="V23">
        <v>892.33</v>
      </c>
      <c r="W23">
        <v>1088.26</v>
      </c>
      <c r="Y23" s="9" t="s">
        <v>71</v>
      </c>
      <c r="Z23" s="5"/>
      <c r="AA23" s="5"/>
      <c r="AB23" s="5"/>
      <c r="AC23">
        <v>589.05999999999995</v>
      </c>
      <c r="AD23">
        <v>569.22</v>
      </c>
      <c r="AE23">
        <v>635.61</v>
      </c>
      <c r="AF23">
        <v>735.89</v>
      </c>
      <c r="AG23">
        <v>654.59</v>
      </c>
      <c r="AH23">
        <v>489.77</v>
      </c>
      <c r="AI23">
        <v>530.76</v>
      </c>
    </row>
    <row r="24" spans="1:35" x14ac:dyDescent="0.35">
      <c r="A24" s="9" t="s">
        <v>72</v>
      </c>
      <c r="B24">
        <v>9439.67</v>
      </c>
      <c r="C24">
        <v>11694.85</v>
      </c>
      <c r="D24">
        <v>12584.73</v>
      </c>
      <c r="E24">
        <v>11760.04</v>
      </c>
      <c r="F24">
        <v>13142.59</v>
      </c>
      <c r="G24">
        <v>14491.01</v>
      </c>
      <c r="H24">
        <v>16369.66</v>
      </c>
      <c r="I24">
        <v>16943.54</v>
      </c>
      <c r="J24">
        <v>17688.11</v>
      </c>
      <c r="K24">
        <v>18886.02</v>
      </c>
      <c r="M24" s="9" t="s">
        <v>72</v>
      </c>
      <c r="N24" s="5"/>
      <c r="O24" s="5"/>
      <c r="P24">
        <v>102.37</v>
      </c>
      <c r="Q24">
        <v>187.87</v>
      </c>
      <c r="R24">
        <v>255.95</v>
      </c>
      <c r="S24">
        <v>330.93</v>
      </c>
      <c r="T24">
        <v>444.89</v>
      </c>
      <c r="U24">
        <v>551.84</v>
      </c>
      <c r="V24">
        <v>699.3</v>
      </c>
      <c r="W24">
        <v>920.37</v>
      </c>
      <c r="Y24" s="9" t="s">
        <v>72</v>
      </c>
      <c r="Z24" s="5"/>
      <c r="AA24" s="5"/>
      <c r="AB24" s="5"/>
      <c r="AC24">
        <v>418.29</v>
      </c>
      <c r="AD24">
        <v>418.56</v>
      </c>
      <c r="AE24">
        <v>624.92999999999995</v>
      </c>
      <c r="AF24">
        <v>518.17999999999995</v>
      </c>
      <c r="AG24">
        <v>836.23</v>
      </c>
      <c r="AH24">
        <v>683.35</v>
      </c>
      <c r="AI24">
        <v>733.2</v>
      </c>
    </row>
    <row r="25" spans="1:35" x14ac:dyDescent="0.35">
      <c r="A25" s="1" t="s">
        <v>26</v>
      </c>
      <c r="B25">
        <v>55898.32</v>
      </c>
      <c r="C25">
        <v>64240.88</v>
      </c>
      <c r="D25">
        <v>71739.039999999994</v>
      </c>
      <c r="E25">
        <v>77310.75</v>
      </c>
      <c r="F25">
        <v>73760.759999999995</v>
      </c>
      <c r="G25">
        <v>77196.02</v>
      </c>
      <c r="H25">
        <v>85830.96</v>
      </c>
      <c r="I25">
        <v>91753.97</v>
      </c>
      <c r="J25">
        <v>88002.7</v>
      </c>
      <c r="K25">
        <v>93792.38</v>
      </c>
      <c r="M25" s="1" t="s">
        <v>26</v>
      </c>
      <c r="N25" s="1"/>
      <c r="O25" s="1"/>
      <c r="P25">
        <v>266.23</v>
      </c>
      <c r="Q25">
        <v>539.12</v>
      </c>
      <c r="R25">
        <v>694.42</v>
      </c>
      <c r="S25">
        <v>984.4</v>
      </c>
      <c r="T25">
        <v>1334.76</v>
      </c>
      <c r="U25">
        <v>1924.49</v>
      </c>
      <c r="V25">
        <v>2482.65</v>
      </c>
      <c r="W25">
        <v>3173.71</v>
      </c>
      <c r="Y25" s="1" t="s">
        <v>26</v>
      </c>
      <c r="Z25" s="1"/>
      <c r="AA25" s="1"/>
      <c r="AB25" s="1"/>
      <c r="AC25">
        <v>1434.48</v>
      </c>
      <c r="AD25">
        <v>1441.7</v>
      </c>
      <c r="AE25">
        <v>1733.54</v>
      </c>
      <c r="AF25">
        <v>1743.52</v>
      </c>
      <c r="AG25">
        <v>1991.5</v>
      </c>
      <c r="AH25">
        <v>1955.09</v>
      </c>
      <c r="AI25">
        <v>2052.25</v>
      </c>
    </row>
    <row r="26" spans="1:35" x14ac:dyDescent="0.35">
      <c r="A26" s="9" t="s">
        <v>27</v>
      </c>
      <c r="B26">
        <v>15893.48</v>
      </c>
      <c r="C26">
        <v>16523.96</v>
      </c>
      <c r="D26">
        <v>19374.189999999999</v>
      </c>
      <c r="E26">
        <v>21713.34</v>
      </c>
      <c r="F26">
        <v>23298.48</v>
      </c>
      <c r="G26">
        <v>24231.59</v>
      </c>
      <c r="H26">
        <v>25851.27</v>
      </c>
      <c r="I26">
        <v>27820.22</v>
      </c>
      <c r="J26">
        <v>21954.85</v>
      </c>
      <c r="K26">
        <v>22545</v>
      </c>
      <c r="M26" s="9" t="s">
        <v>27</v>
      </c>
      <c r="N26" s="5"/>
      <c r="O26" s="5"/>
      <c r="P26">
        <v>133.16</v>
      </c>
      <c r="Q26">
        <v>249.76</v>
      </c>
      <c r="R26">
        <v>270.86</v>
      </c>
      <c r="S26">
        <v>427.01</v>
      </c>
      <c r="T26">
        <v>553.66999999999996</v>
      </c>
      <c r="U26">
        <v>908.38</v>
      </c>
      <c r="V26">
        <v>1012.06</v>
      </c>
      <c r="W26">
        <v>1302.05</v>
      </c>
      <c r="Y26" s="9" t="s">
        <v>27</v>
      </c>
      <c r="Z26" s="5"/>
      <c r="AA26" s="5"/>
      <c r="AB26" s="5"/>
      <c r="AC26">
        <v>734.96</v>
      </c>
      <c r="AD26">
        <v>707.82</v>
      </c>
      <c r="AE26">
        <v>666.96</v>
      </c>
      <c r="AF26">
        <v>866.4</v>
      </c>
      <c r="AG26">
        <v>849.76</v>
      </c>
      <c r="AH26">
        <v>862.4</v>
      </c>
      <c r="AI26">
        <v>884.57</v>
      </c>
    </row>
    <row r="27" spans="1:35" x14ac:dyDescent="0.35">
      <c r="A27" s="9" t="s">
        <v>28</v>
      </c>
      <c r="B27">
        <v>3729.89</v>
      </c>
      <c r="C27">
        <v>5508.33</v>
      </c>
      <c r="D27">
        <v>4136.42</v>
      </c>
      <c r="E27">
        <v>3256.46</v>
      </c>
      <c r="F27">
        <v>4011.29</v>
      </c>
      <c r="G27">
        <v>3225.54</v>
      </c>
      <c r="H27">
        <v>3003.3</v>
      </c>
      <c r="I27">
        <v>2860.78</v>
      </c>
      <c r="J27">
        <v>1090.9100000000001</v>
      </c>
      <c r="K27">
        <v>1499.41</v>
      </c>
      <c r="M27" s="9" t="s">
        <v>28</v>
      </c>
      <c r="N27" s="5"/>
      <c r="O27" s="5"/>
      <c r="P27">
        <v>0.34</v>
      </c>
      <c r="Q27">
        <v>25.56</v>
      </c>
      <c r="R27">
        <v>53.47</v>
      </c>
      <c r="S27">
        <v>87.16</v>
      </c>
      <c r="T27">
        <v>125.12</v>
      </c>
      <c r="U27">
        <v>8.74</v>
      </c>
      <c r="V27">
        <v>119.51</v>
      </c>
      <c r="W27">
        <v>150.32</v>
      </c>
      <c r="Y27" s="9" t="s">
        <v>28</v>
      </c>
      <c r="Z27" s="5"/>
      <c r="AA27" s="5"/>
      <c r="AB27" s="5"/>
      <c r="AC27">
        <v>16.690000000000001</v>
      </c>
      <c r="AD27">
        <v>8.65</v>
      </c>
      <c r="AE27">
        <v>50.35</v>
      </c>
      <c r="AF27">
        <v>17.04</v>
      </c>
      <c r="AG27">
        <v>28.78</v>
      </c>
      <c r="AH27">
        <v>37.380000000000003</v>
      </c>
      <c r="AI27">
        <v>129.34</v>
      </c>
    </row>
    <row r="28" spans="1:35" x14ac:dyDescent="0.35">
      <c r="A28" s="9" t="s">
        <v>29</v>
      </c>
      <c r="B28">
        <v>17581.38</v>
      </c>
      <c r="C28">
        <v>22052.86</v>
      </c>
      <c r="D28">
        <v>25043.49</v>
      </c>
      <c r="E28">
        <v>28663.35</v>
      </c>
      <c r="F28">
        <v>24870.87</v>
      </c>
      <c r="G28">
        <v>24841.01</v>
      </c>
      <c r="H28">
        <v>29415.02</v>
      </c>
      <c r="I28">
        <v>31114.02</v>
      </c>
      <c r="J28">
        <v>34719.82</v>
      </c>
      <c r="K28">
        <v>38128.43</v>
      </c>
      <c r="M28" s="9" t="s">
        <v>29</v>
      </c>
      <c r="N28" s="5"/>
      <c r="O28" s="5"/>
      <c r="P28" s="5"/>
      <c r="Q28">
        <v>2.35</v>
      </c>
      <c r="R28">
        <v>0.41</v>
      </c>
      <c r="S28" s="5"/>
      <c r="T28" s="5"/>
      <c r="U28" s="5"/>
      <c r="V28" s="5"/>
      <c r="W28">
        <v>5.28</v>
      </c>
      <c r="Y28" s="9" t="s">
        <v>29</v>
      </c>
      <c r="Z28" s="5"/>
      <c r="AA28" s="5"/>
      <c r="AB28" s="5"/>
      <c r="AC28">
        <v>0.05</v>
      </c>
      <c r="AD28">
        <v>0.05</v>
      </c>
      <c r="AE28" s="5"/>
      <c r="AF28" s="5"/>
      <c r="AG28" s="5"/>
      <c r="AH28" s="5"/>
      <c r="AI28">
        <v>0.05</v>
      </c>
    </row>
    <row r="29" spans="1:35" x14ac:dyDescent="0.35">
      <c r="A29" s="9" t="s">
        <v>73</v>
      </c>
      <c r="B29">
        <v>18693.57</v>
      </c>
      <c r="C29">
        <v>20155.73</v>
      </c>
      <c r="D29">
        <v>23184.94</v>
      </c>
      <c r="E29">
        <v>23677.599999999999</v>
      </c>
      <c r="F29">
        <v>21580.12</v>
      </c>
      <c r="G29">
        <v>24897.88</v>
      </c>
      <c r="H29">
        <v>27561.37</v>
      </c>
      <c r="I29">
        <v>29958.95</v>
      </c>
      <c r="J29">
        <v>30237.119999999999</v>
      </c>
      <c r="K29">
        <v>31619.54</v>
      </c>
      <c r="M29" s="9" t="s">
        <v>73</v>
      </c>
      <c r="N29" s="5"/>
      <c r="O29" s="5"/>
      <c r="P29">
        <v>132.72999999999999</v>
      </c>
      <c r="Q29">
        <v>261.45</v>
      </c>
      <c r="R29">
        <v>369.68</v>
      </c>
      <c r="S29">
        <v>470.23</v>
      </c>
      <c r="T29">
        <v>655.97</v>
      </c>
      <c r="U29">
        <v>1007.37</v>
      </c>
      <c r="V29">
        <v>1351.08</v>
      </c>
      <c r="W29">
        <v>1716.06</v>
      </c>
      <c r="Y29" s="9" t="s">
        <v>73</v>
      </c>
      <c r="Z29" s="5"/>
      <c r="AA29" s="5"/>
      <c r="AB29" s="5"/>
      <c r="AC29">
        <v>682.78</v>
      </c>
      <c r="AD29">
        <v>725.18</v>
      </c>
      <c r="AE29">
        <v>1016.23</v>
      </c>
      <c r="AF29">
        <v>860.08</v>
      </c>
      <c r="AG29">
        <v>1112.96</v>
      </c>
      <c r="AH29">
        <v>1055.31</v>
      </c>
      <c r="AI29">
        <v>1038.29</v>
      </c>
    </row>
    <row r="30" spans="1:35" x14ac:dyDescent="0.35">
      <c r="A30" s="1" t="s">
        <v>26</v>
      </c>
      <c r="B30">
        <v>55898.32</v>
      </c>
      <c r="C30">
        <v>64240.88</v>
      </c>
      <c r="D30">
        <v>71739.039999999994</v>
      </c>
      <c r="E30">
        <v>77310.75</v>
      </c>
      <c r="F30">
        <v>73760.759999999995</v>
      </c>
      <c r="G30">
        <v>77196.02</v>
      </c>
      <c r="H30">
        <v>85830.96</v>
      </c>
      <c r="I30">
        <v>91753.97</v>
      </c>
      <c r="J30">
        <v>88002.7</v>
      </c>
      <c r="K30">
        <v>93792.38</v>
      </c>
      <c r="M30" s="1" t="s">
        <v>26</v>
      </c>
      <c r="N30" s="1"/>
      <c r="O30" s="1"/>
      <c r="P30">
        <v>266.23</v>
      </c>
      <c r="Q30">
        <v>539.12</v>
      </c>
      <c r="R30">
        <v>694.42</v>
      </c>
      <c r="S30">
        <v>984.4</v>
      </c>
      <c r="T30">
        <v>1334.76</v>
      </c>
      <c r="U30">
        <v>1924.49</v>
      </c>
      <c r="V30">
        <v>2482.65</v>
      </c>
      <c r="W30">
        <v>3173.71</v>
      </c>
      <c r="Y30" s="1" t="s">
        <v>26</v>
      </c>
      <c r="Z30" s="1"/>
      <c r="AA30" s="1"/>
      <c r="AB30" s="1"/>
      <c r="AC30">
        <v>1434.48</v>
      </c>
      <c r="AD30">
        <v>1441.7</v>
      </c>
      <c r="AE30">
        <v>1733.54</v>
      </c>
      <c r="AF30">
        <v>1743.52</v>
      </c>
      <c r="AG30">
        <v>1991.5</v>
      </c>
      <c r="AH30">
        <v>1955.09</v>
      </c>
      <c r="AI30">
        <v>2052.25</v>
      </c>
    </row>
    <row r="31" spans="1:35" x14ac:dyDescent="0.35">
      <c r="A31" s="9" t="s">
        <v>78</v>
      </c>
      <c r="B31">
        <v>2474.29</v>
      </c>
      <c r="C31">
        <v>2682.29</v>
      </c>
      <c r="D31">
        <v>4035.28</v>
      </c>
      <c r="E31">
        <v>2562.48</v>
      </c>
      <c r="F31">
        <v>2501.6999999999998</v>
      </c>
      <c r="G31">
        <v>2461.9</v>
      </c>
      <c r="H31">
        <v>2956.17</v>
      </c>
      <c r="I31">
        <v>4025.82</v>
      </c>
      <c r="J31">
        <v>4719.67</v>
      </c>
      <c r="K31">
        <v>3922.86</v>
      </c>
      <c r="M31" s="9" t="s">
        <v>78</v>
      </c>
      <c r="N31" s="9"/>
      <c r="O31" s="9"/>
      <c r="P31">
        <v>42.61</v>
      </c>
      <c r="Q31">
        <v>37.47</v>
      </c>
      <c r="R31">
        <v>49.69</v>
      </c>
      <c r="S31">
        <v>72.19</v>
      </c>
      <c r="T31">
        <v>104.49</v>
      </c>
      <c r="U31">
        <v>175.77</v>
      </c>
      <c r="V31">
        <v>209.31</v>
      </c>
      <c r="W31">
        <v>254.76</v>
      </c>
      <c r="Y31" s="9" t="s">
        <v>78</v>
      </c>
      <c r="Z31" s="9"/>
      <c r="AA31" s="9"/>
      <c r="AB31" s="9"/>
      <c r="AC31">
        <v>125.7</v>
      </c>
      <c r="AD31">
        <v>169.15</v>
      </c>
      <c r="AE31">
        <v>172.73</v>
      </c>
      <c r="AF31">
        <v>202.04</v>
      </c>
      <c r="AG31">
        <v>189.8</v>
      </c>
      <c r="AH31">
        <v>138.22</v>
      </c>
      <c r="AI31">
        <v>113.6</v>
      </c>
    </row>
    <row r="32" spans="1:35" x14ac:dyDescent="0.35">
      <c r="A32" s="9" t="s">
        <v>45</v>
      </c>
      <c r="B32">
        <v>8116.1</v>
      </c>
      <c r="C32">
        <v>7495.09</v>
      </c>
      <c r="D32">
        <v>7859.56</v>
      </c>
      <c r="E32">
        <v>8879.33</v>
      </c>
      <c r="F32">
        <v>10397.16</v>
      </c>
      <c r="G32">
        <v>10864.15</v>
      </c>
      <c r="H32">
        <v>11771.16</v>
      </c>
      <c r="I32">
        <v>14152.88</v>
      </c>
      <c r="J32">
        <v>15637.56</v>
      </c>
      <c r="K32">
        <v>18622.96</v>
      </c>
      <c r="M32" s="9" t="s">
        <v>45</v>
      </c>
      <c r="N32" s="5"/>
      <c r="O32" s="5"/>
      <c r="P32">
        <v>49.04</v>
      </c>
      <c r="Q32">
        <v>109.73</v>
      </c>
      <c r="R32">
        <v>169.08</v>
      </c>
      <c r="S32">
        <v>237.77</v>
      </c>
      <c r="T32">
        <v>333.91</v>
      </c>
      <c r="U32">
        <v>493.4</v>
      </c>
      <c r="V32">
        <v>752.82</v>
      </c>
      <c r="W32">
        <v>969.47</v>
      </c>
      <c r="Y32" s="9" t="s">
        <v>45</v>
      </c>
      <c r="Z32" s="5"/>
      <c r="AA32" s="5"/>
      <c r="AB32" s="5"/>
      <c r="AC32">
        <v>382.84</v>
      </c>
      <c r="AD32">
        <v>423.66</v>
      </c>
      <c r="AE32">
        <v>652.25</v>
      </c>
      <c r="AF32">
        <v>519.33000000000004</v>
      </c>
      <c r="AG32">
        <v>805.21</v>
      </c>
      <c r="AH32">
        <v>739.71</v>
      </c>
      <c r="AI32">
        <v>775.8</v>
      </c>
    </row>
    <row r="33" spans="1:35" x14ac:dyDescent="0.35">
      <c r="A33" s="5" t="s">
        <v>87</v>
      </c>
      <c r="B33">
        <v>2967.4</v>
      </c>
      <c r="C33">
        <v>2899.6</v>
      </c>
      <c r="D33">
        <v>4152.03</v>
      </c>
      <c r="E33">
        <v>7277.34</v>
      </c>
      <c r="F33">
        <v>4659.0200000000004</v>
      </c>
      <c r="G33">
        <v>4654.42</v>
      </c>
      <c r="H33">
        <v>4880.1899999999996</v>
      </c>
      <c r="I33">
        <v>7217.68</v>
      </c>
      <c r="J33">
        <v>4012.36</v>
      </c>
      <c r="K33">
        <v>3008.79</v>
      </c>
      <c r="M33" s="5" t="s">
        <v>87</v>
      </c>
      <c r="N33" s="5"/>
      <c r="O33" s="5"/>
      <c r="P33">
        <v>4.53</v>
      </c>
      <c r="Q33">
        <v>38.979999999999997</v>
      </c>
      <c r="R33">
        <v>58.53</v>
      </c>
      <c r="S33">
        <v>43.4</v>
      </c>
      <c r="T33">
        <v>50.47</v>
      </c>
      <c r="U33">
        <v>49.29</v>
      </c>
      <c r="V33">
        <v>83.62</v>
      </c>
      <c r="W33">
        <v>51.71</v>
      </c>
      <c r="Y33" s="5" t="s">
        <v>87</v>
      </c>
      <c r="Z33" s="5"/>
      <c r="AA33" s="5"/>
      <c r="AB33" s="5"/>
      <c r="AC33">
        <v>44.06</v>
      </c>
      <c r="AD33">
        <v>40.14</v>
      </c>
      <c r="AE33">
        <v>46.74</v>
      </c>
      <c r="AF33">
        <v>44.78</v>
      </c>
      <c r="AG33">
        <v>32.57</v>
      </c>
      <c r="AH33">
        <v>31.38</v>
      </c>
      <c r="AI33">
        <v>32.15</v>
      </c>
    </row>
    <row r="35" spans="1:35" x14ac:dyDescent="0.35">
      <c r="A35" s="162" t="s">
        <v>264</v>
      </c>
      <c r="B35">
        <f>B29-SUM(B31:B33)</f>
        <v>5135.7800000000007</v>
      </c>
      <c r="C35">
        <f t="shared" ref="C35:K35" si="0">C29-SUM(C31:C33)</f>
        <v>7078.7499999999982</v>
      </c>
      <c r="D35">
        <f t="shared" si="0"/>
        <v>7138.07</v>
      </c>
      <c r="E35">
        <f t="shared" si="0"/>
        <v>4958.4499999999971</v>
      </c>
      <c r="F35">
        <f t="shared" si="0"/>
        <v>4022.239999999998</v>
      </c>
      <c r="G35">
        <f t="shared" si="0"/>
        <v>6917.41</v>
      </c>
      <c r="H35">
        <f t="shared" si="0"/>
        <v>7953.8499999999985</v>
      </c>
      <c r="I35">
        <f t="shared" si="0"/>
        <v>4562.57</v>
      </c>
      <c r="J35">
        <f t="shared" si="0"/>
        <v>5867.5299999999988</v>
      </c>
      <c r="K35">
        <f t="shared" si="0"/>
        <v>6064.93</v>
      </c>
      <c r="M35" s="5" t="s">
        <v>260</v>
      </c>
      <c r="N35" s="5"/>
      <c r="O35" s="5"/>
      <c r="P35">
        <f t="shared" ref="P35:W35" si="1">P29-SUM(P31:P33)</f>
        <v>36.549999999999983</v>
      </c>
      <c r="Q35">
        <f t="shared" si="1"/>
        <v>75.27000000000001</v>
      </c>
      <c r="R35">
        <f t="shared" si="1"/>
        <v>92.38</v>
      </c>
      <c r="S35">
        <f t="shared" si="1"/>
        <v>116.87</v>
      </c>
      <c r="T35">
        <f t="shared" si="1"/>
        <v>167.10000000000002</v>
      </c>
      <c r="U35">
        <f t="shared" si="1"/>
        <v>288.91000000000008</v>
      </c>
      <c r="V35">
        <f t="shared" si="1"/>
        <v>305.32999999999993</v>
      </c>
      <c r="W35">
        <f t="shared" si="1"/>
        <v>440.11999999999989</v>
      </c>
      <c r="Y35" s="5" t="s">
        <v>73</v>
      </c>
      <c r="AC35">
        <f>AC29-SUM(AC31:AC33)</f>
        <v>130.18000000000006</v>
      </c>
      <c r="AD35">
        <f t="shared" ref="AD35:AI35" si="2">AD29-SUM(AD31:AD33)</f>
        <v>92.229999999999905</v>
      </c>
      <c r="AE35">
        <f t="shared" si="2"/>
        <v>144.51</v>
      </c>
      <c r="AF35">
        <f t="shared" si="2"/>
        <v>93.930000000000064</v>
      </c>
      <c r="AG35">
        <f t="shared" si="2"/>
        <v>85.380000000000109</v>
      </c>
      <c r="AH35">
        <f t="shared" si="2"/>
        <v>145.99999999999989</v>
      </c>
      <c r="AI35">
        <f t="shared" si="2"/>
        <v>116.74000000000001</v>
      </c>
    </row>
    <row r="36" spans="1:35" x14ac:dyDescent="0.35"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Y36" s="9"/>
    </row>
    <row r="37" spans="1:35" x14ac:dyDescent="0.35">
      <c r="L37" s="5"/>
      <c r="M37" s="5"/>
      <c r="N37" s="5"/>
      <c r="Y37" s="9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x14ac:dyDescent="0.35"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Y38" s="9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x14ac:dyDescent="0.35">
      <c r="M39" s="9"/>
      <c r="N39" s="5"/>
      <c r="O39" s="5"/>
      <c r="P39" s="5"/>
      <c r="Q39" s="5"/>
      <c r="R39" s="5"/>
      <c r="S39" s="5"/>
      <c r="T39" s="5"/>
      <c r="U39" s="5"/>
      <c r="V39" s="5"/>
      <c r="W39" s="5"/>
      <c r="Y39" s="9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x14ac:dyDescent="0.35">
      <c r="M40" s="9"/>
      <c r="N40" s="5"/>
      <c r="O40" s="5"/>
      <c r="P40" s="5"/>
      <c r="Q40" s="5"/>
      <c r="R40" s="5"/>
      <c r="S40" s="5"/>
      <c r="T40" s="5"/>
      <c r="U40" s="5"/>
      <c r="V40" s="5"/>
      <c r="W40" s="5"/>
      <c r="Y40" s="9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x14ac:dyDescent="0.35">
      <c r="M41" s="9"/>
      <c r="N41" s="5"/>
      <c r="O41" s="5"/>
      <c r="P41" s="5"/>
      <c r="Q41" s="5"/>
      <c r="R41" s="5"/>
      <c r="S41" s="5"/>
      <c r="T41" s="5"/>
      <c r="U41" s="5"/>
      <c r="V41" s="5"/>
      <c r="W41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opLeftCell="A21" zoomScale="78" workbookViewId="0">
      <selection activeCell="M41" sqref="M41"/>
    </sheetView>
  </sheetViews>
  <sheetFormatPr defaultRowHeight="14.5" x14ac:dyDescent="0.35"/>
  <cols>
    <col min="1" max="1" width="31.90625" bestFit="1" customWidth="1"/>
    <col min="9" max="9" width="11.26953125" bestFit="1" customWidth="1"/>
    <col min="10" max="13" width="11.81640625" bestFit="1" customWidth="1"/>
  </cols>
  <sheetData>
    <row r="1" spans="1:13" ht="15" thickBot="1" x14ac:dyDescent="0.4">
      <c r="A1" s="67" t="s">
        <v>143</v>
      </c>
      <c r="B1" s="59">
        <v>3292</v>
      </c>
      <c r="C1" s="59">
        <v>4171</v>
      </c>
      <c r="D1" s="59">
        <v>5185</v>
      </c>
      <c r="E1" s="59">
        <v>6059</v>
      </c>
      <c r="F1" s="59">
        <v>5800</v>
      </c>
      <c r="G1" s="59">
        <v>7623</v>
      </c>
      <c r="H1" s="59">
        <v>9163</v>
      </c>
      <c r="I1" s="59">
        <v>9048</v>
      </c>
      <c r="J1" s="59">
        <v>9991</v>
      </c>
      <c r="K1" s="59">
        <v>15469</v>
      </c>
      <c r="L1" s="59">
        <v>11886</v>
      </c>
      <c r="M1" s="59">
        <v>10999</v>
      </c>
    </row>
    <row r="2" spans="1:13" x14ac:dyDescent="0.35">
      <c r="A2" s="58" t="s">
        <v>116</v>
      </c>
      <c r="B2" s="59">
        <v>5510</v>
      </c>
      <c r="C2" s="59">
        <v>6025</v>
      </c>
      <c r="D2" s="59">
        <v>6512</v>
      </c>
      <c r="E2" s="59">
        <v>7485</v>
      </c>
      <c r="F2" s="59">
        <v>8909</v>
      </c>
      <c r="G2" s="59">
        <v>9723</v>
      </c>
      <c r="H2" s="59">
        <v>11672</v>
      </c>
      <c r="I2" s="59">
        <v>12829</v>
      </c>
      <c r="J2" s="59">
        <v>14089</v>
      </c>
      <c r="K2" s="59">
        <v>14537</v>
      </c>
      <c r="L2" s="59">
        <v>14942</v>
      </c>
      <c r="M2" s="59">
        <v>15153</v>
      </c>
    </row>
    <row r="3" spans="1:13" x14ac:dyDescent="0.35">
      <c r="A3" s="60" t="s">
        <v>78</v>
      </c>
      <c r="B3" s="61">
        <v>3</v>
      </c>
      <c r="C3" s="61">
        <v>-257</v>
      </c>
      <c r="D3" s="61">
        <v>173</v>
      </c>
      <c r="E3" s="61">
        <v>0</v>
      </c>
      <c r="F3" s="61">
        <v>0</v>
      </c>
      <c r="G3" s="61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</row>
    <row r="4" spans="1:13" x14ac:dyDescent="0.35">
      <c r="A4" s="60" t="s">
        <v>45</v>
      </c>
      <c r="B4" s="61">
        <v>91</v>
      </c>
      <c r="C4" s="61">
        <v>89</v>
      </c>
      <c r="D4" s="61">
        <v>37</v>
      </c>
      <c r="E4" s="61">
        <v>-146</v>
      </c>
      <c r="F4" s="61">
        <v>-195</v>
      </c>
      <c r="G4" s="61">
        <v>-331</v>
      </c>
      <c r="H4" s="61">
        <v>-543</v>
      </c>
      <c r="I4" s="61">
        <v>-758</v>
      </c>
      <c r="J4" s="61">
        <v>-339</v>
      </c>
      <c r="K4" s="61">
        <v>74</v>
      </c>
      <c r="L4" s="61">
        <v>-584</v>
      </c>
      <c r="M4" s="61">
        <v>-692</v>
      </c>
    </row>
    <row r="5" spans="1:13" x14ac:dyDescent="0.35">
      <c r="A5" s="60" t="s">
        <v>117</v>
      </c>
      <c r="B5" s="61">
        <v>-327</v>
      </c>
      <c r="C5" s="61">
        <v>164</v>
      </c>
      <c r="D5" s="61">
        <v>501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</row>
    <row r="6" spans="1:13" x14ac:dyDescent="0.35">
      <c r="A6" s="60" t="s">
        <v>118</v>
      </c>
      <c r="B6" s="61">
        <v>-148</v>
      </c>
      <c r="C6" s="61">
        <v>0</v>
      </c>
      <c r="D6" s="61">
        <v>0</v>
      </c>
      <c r="E6" s="61">
        <v>0</v>
      </c>
      <c r="F6" s="61">
        <v>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</row>
    <row r="7" spans="1:13" x14ac:dyDescent="0.35">
      <c r="A7" s="60" t="s">
        <v>119</v>
      </c>
      <c r="B7" s="61">
        <v>0</v>
      </c>
      <c r="C7" s="61">
        <v>0</v>
      </c>
      <c r="D7" s="61">
        <v>-46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</row>
    <row r="8" spans="1:13" ht="15" thickBot="1" x14ac:dyDescent="0.4">
      <c r="A8" s="60" t="s">
        <v>120</v>
      </c>
      <c r="B8" s="61">
        <v>38</v>
      </c>
      <c r="C8" s="61">
        <v>-77</v>
      </c>
      <c r="D8" s="61">
        <v>-99</v>
      </c>
      <c r="E8" s="61">
        <v>982</v>
      </c>
      <c r="F8" s="61">
        <v>-147</v>
      </c>
      <c r="G8" s="61">
        <v>742</v>
      </c>
      <c r="H8" s="61">
        <v>442</v>
      </c>
      <c r="I8" s="61">
        <v>-242</v>
      </c>
      <c r="J8" s="61">
        <v>-621</v>
      </c>
      <c r="K8" s="62">
        <v>1239</v>
      </c>
      <c r="L8" s="61">
        <v>-204</v>
      </c>
      <c r="M8" s="62">
        <v>1378</v>
      </c>
    </row>
    <row r="9" spans="1:13" x14ac:dyDescent="0.35">
      <c r="A9" s="58" t="s">
        <v>121</v>
      </c>
      <c r="B9" s="63">
        <v>-342</v>
      </c>
      <c r="C9" s="63">
        <v>-81</v>
      </c>
      <c r="D9" s="63">
        <v>566</v>
      </c>
      <c r="E9" s="63">
        <v>836</v>
      </c>
      <c r="F9" s="63">
        <v>-342</v>
      </c>
      <c r="G9" s="63">
        <v>411</v>
      </c>
      <c r="H9" s="63">
        <v>-101</v>
      </c>
      <c r="I9" s="59">
        <v>-1000</v>
      </c>
      <c r="J9" s="63">
        <v>-960</v>
      </c>
      <c r="K9" s="59">
        <v>1313</v>
      </c>
      <c r="L9" s="63">
        <v>-788</v>
      </c>
      <c r="M9" s="63">
        <v>686</v>
      </c>
    </row>
    <row r="10" spans="1:13" x14ac:dyDescent="0.35">
      <c r="A10" s="60" t="s">
        <v>122</v>
      </c>
      <c r="B10" s="62">
        <v>-1862</v>
      </c>
      <c r="C10" s="62">
        <v>-1765</v>
      </c>
      <c r="D10" s="62">
        <v>-1859</v>
      </c>
      <c r="E10" s="62">
        <v>-2264</v>
      </c>
      <c r="F10" s="62">
        <v>-2767</v>
      </c>
      <c r="G10" s="62">
        <v>-2505</v>
      </c>
      <c r="H10" s="62">
        <v>-2407</v>
      </c>
      <c r="I10" s="62">
        <v>-2784</v>
      </c>
      <c r="J10" s="62">
        <v>-3138</v>
      </c>
      <c r="K10" s="61">
        <v>-381</v>
      </c>
      <c r="L10" s="62">
        <v>-2268</v>
      </c>
      <c r="M10" s="62">
        <v>-4840</v>
      </c>
    </row>
    <row r="11" spans="1:13" x14ac:dyDescent="0.35">
      <c r="A11" s="60" t="s">
        <v>123</v>
      </c>
      <c r="B11" s="61">
        <v>-14</v>
      </c>
      <c r="C11" s="61">
        <v>-8</v>
      </c>
      <c r="D11" s="61">
        <v>-21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</row>
    <row r="12" spans="1:13" x14ac:dyDescent="0.35">
      <c r="A12" s="60" t="s">
        <v>124</v>
      </c>
      <c r="B12" s="61">
        <v>0</v>
      </c>
      <c r="C12" s="61">
        <v>0</v>
      </c>
      <c r="D12" s="61">
        <v>-13</v>
      </c>
      <c r="E12" s="61">
        <v>2</v>
      </c>
      <c r="F12" s="61">
        <v>0</v>
      </c>
      <c r="G12" s="61">
        <v>-6</v>
      </c>
      <c r="H12" s="61">
        <v>-1</v>
      </c>
      <c r="I12" s="61">
        <v>3</v>
      </c>
      <c r="J12" s="61">
        <v>0</v>
      </c>
      <c r="K12" s="61">
        <v>0</v>
      </c>
      <c r="L12" s="61">
        <v>0</v>
      </c>
      <c r="M12" s="61">
        <v>0</v>
      </c>
    </row>
    <row r="14" spans="1:13" ht="15" thickBot="1" x14ac:dyDescent="0.4"/>
    <row r="15" spans="1:13" x14ac:dyDescent="0.35">
      <c r="A15" s="68" t="s">
        <v>142</v>
      </c>
      <c r="B15" s="69">
        <v>138</v>
      </c>
      <c r="C15" s="69">
        <v>-282</v>
      </c>
      <c r="D15" s="70">
        <v>-1173</v>
      </c>
      <c r="E15" s="70">
        <v>-1063</v>
      </c>
      <c r="F15" s="69">
        <v>-438</v>
      </c>
      <c r="G15" s="70">
        <v>1791</v>
      </c>
      <c r="H15" s="70">
        <v>-1228</v>
      </c>
      <c r="I15" s="70">
        <v>-1728</v>
      </c>
      <c r="J15" s="70">
        <v>-1484</v>
      </c>
      <c r="K15" s="70">
        <v>-5324</v>
      </c>
      <c r="L15" s="70">
        <v>6473</v>
      </c>
      <c r="M15" s="70">
        <v>-3676</v>
      </c>
    </row>
    <row r="16" spans="1:13" x14ac:dyDescent="0.35">
      <c r="A16" s="64" t="s">
        <v>125</v>
      </c>
      <c r="B16" s="65">
        <v>-606</v>
      </c>
      <c r="C16" s="65">
        <v>-810</v>
      </c>
      <c r="D16" s="66">
        <v>-1113</v>
      </c>
      <c r="E16" s="65">
        <v>-895</v>
      </c>
      <c r="F16" s="65">
        <v>-767</v>
      </c>
      <c r="G16" s="65">
        <v>-862</v>
      </c>
      <c r="H16" s="66">
        <v>-4163</v>
      </c>
      <c r="I16" s="66">
        <v>-1228</v>
      </c>
      <c r="J16" s="66">
        <v>-1192</v>
      </c>
      <c r="K16" s="66">
        <v>-1477</v>
      </c>
      <c r="L16" s="66">
        <v>-1275</v>
      </c>
      <c r="M16" s="66">
        <v>-1361</v>
      </c>
    </row>
    <row r="17" spans="1:13" x14ac:dyDescent="0.35">
      <c r="A17" s="64" t="s">
        <v>126</v>
      </c>
      <c r="B17" s="65">
        <v>560</v>
      </c>
      <c r="C17" s="65">
        <v>99</v>
      </c>
      <c r="D17" s="65">
        <v>176</v>
      </c>
      <c r="E17" s="65">
        <v>32</v>
      </c>
      <c r="F17" s="65">
        <v>13</v>
      </c>
      <c r="G17" s="65">
        <v>52</v>
      </c>
      <c r="H17" s="65">
        <v>97</v>
      </c>
      <c r="I17" s="65">
        <v>175</v>
      </c>
      <c r="J17" s="65">
        <v>181</v>
      </c>
      <c r="K17" s="65">
        <v>20</v>
      </c>
      <c r="L17" s="65">
        <v>13</v>
      </c>
      <c r="M17" s="65">
        <v>29</v>
      </c>
    </row>
    <row r="18" spans="1:13" x14ac:dyDescent="0.35">
      <c r="A18" s="64" t="s">
        <v>127</v>
      </c>
      <c r="B18" s="66">
        <v>-19353</v>
      </c>
      <c r="C18" s="66">
        <v>-20666</v>
      </c>
      <c r="D18" s="66">
        <v>-31214</v>
      </c>
      <c r="E18" s="66">
        <v>-51855</v>
      </c>
      <c r="F18" s="66">
        <v>-74365</v>
      </c>
      <c r="G18" s="66">
        <v>-36090</v>
      </c>
      <c r="H18" s="66">
        <v>-39920</v>
      </c>
      <c r="I18" s="66">
        <v>-48522</v>
      </c>
      <c r="J18" s="66">
        <v>-22649</v>
      </c>
      <c r="K18" s="66">
        <v>-21337</v>
      </c>
      <c r="L18" s="66">
        <v>-22957</v>
      </c>
      <c r="M18" s="66">
        <v>-25529</v>
      </c>
    </row>
    <row r="19" spans="1:13" x14ac:dyDescent="0.35">
      <c r="A19" s="64" t="s">
        <v>128</v>
      </c>
      <c r="B19" s="66">
        <v>19461</v>
      </c>
      <c r="C19" s="66">
        <v>20937</v>
      </c>
      <c r="D19" s="66">
        <v>30083</v>
      </c>
      <c r="E19" s="66">
        <v>52897</v>
      </c>
      <c r="F19" s="66">
        <v>74691</v>
      </c>
      <c r="G19" s="66">
        <v>37690</v>
      </c>
      <c r="H19" s="66">
        <v>38486</v>
      </c>
      <c r="I19" s="66">
        <v>47786</v>
      </c>
      <c r="J19" s="66">
        <v>23462</v>
      </c>
      <c r="K19" s="66">
        <v>19846</v>
      </c>
      <c r="L19" s="66">
        <v>23987</v>
      </c>
      <c r="M19" s="66">
        <v>25117</v>
      </c>
    </row>
    <row r="20" spans="1:13" x14ac:dyDescent="0.35">
      <c r="A20" s="64" t="s">
        <v>129</v>
      </c>
      <c r="B20" s="65">
        <v>218</v>
      </c>
      <c r="C20" s="65">
        <v>315</v>
      </c>
      <c r="D20" s="65">
        <v>264</v>
      </c>
      <c r="E20" s="65">
        <v>297</v>
      </c>
      <c r="F20" s="65">
        <v>289</v>
      </c>
      <c r="G20" s="65">
        <v>351</v>
      </c>
      <c r="H20" s="65">
        <v>277</v>
      </c>
      <c r="I20" s="65">
        <v>161</v>
      </c>
      <c r="J20" s="65">
        <v>259</v>
      </c>
      <c r="K20" s="65">
        <v>425</v>
      </c>
      <c r="L20" s="65">
        <v>835</v>
      </c>
      <c r="M20" s="65">
        <v>428</v>
      </c>
    </row>
    <row r="21" spans="1:13" x14ac:dyDescent="0.35">
      <c r="A21" s="64" t="s">
        <v>130</v>
      </c>
      <c r="B21" s="65">
        <v>24</v>
      </c>
      <c r="C21" s="65">
        <v>33</v>
      </c>
      <c r="D21" s="65">
        <v>14</v>
      </c>
      <c r="E21" s="65">
        <v>0</v>
      </c>
      <c r="F21" s="65">
        <v>1</v>
      </c>
      <c r="G21" s="65">
        <v>1</v>
      </c>
      <c r="H21" s="65">
        <v>1</v>
      </c>
      <c r="I21" s="65">
        <v>1</v>
      </c>
      <c r="J21" s="65">
        <v>2</v>
      </c>
      <c r="K21" s="65">
        <v>3</v>
      </c>
      <c r="L21" s="65">
        <v>0</v>
      </c>
      <c r="M21" s="65">
        <v>5</v>
      </c>
    </row>
    <row r="22" spans="1:13" x14ac:dyDescent="0.35">
      <c r="A22" s="64" t="s">
        <v>131</v>
      </c>
      <c r="B22" s="65">
        <v>200</v>
      </c>
      <c r="C22" s="65">
        <v>161</v>
      </c>
      <c r="D22" s="65">
        <v>20</v>
      </c>
      <c r="E22" s="65">
        <v>73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298</v>
      </c>
    </row>
    <row r="23" spans="1:13" x14ac:dyDescent="0.35">
      <c r="A23" s="64" t="s">
        <v>132</v>
      </c>
      <c r="B23" s="65">
        <v>0</v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0</v>
      </c>
      <c r="I23" s="65">
        <v>0</v>
      </c>
      <c r="J23" s="65">
        <v>-334</v>
      </c>
      <c r="K23" s="65">
        <v>0</v>
      </c>
      <c r="L23" s="65">
        <v>0</v>
      </c>
      <c r="M23" s="65">
        <v>0</v>
      </c>
    </row>
    <row r="24" spans="1:13" x14ac:dyDescent="0.35">
      <c r="A24" s="64" t="s">
        <v>133</v>
      </c>
      <c r="B24" s="65">
        <v>-367</v>
      </c>
      <c r="C24" s="65">
        <v>-351</v>
      </c>
      <c r="D24" s="65">
        <v>597</v>
      </c>
      <c r="E24" s="66">
        <v>-1612</v>
      </c>
      <c r="F24" s="65">
        <v>-300</v>
      </c>
      <c r="G24" s="65">
        <v>649</v>
      </c>
      <c r="H24" s="66">
        <v>3994</v>
      </c>
      <c r="I24" s="65">
        <v>-101</v>
      </c>
      <c r="J24" s="66">
        <v>-1213</v>
      </c>
      <c r="K24" s="66">
        <v>-2804</v>
      </c>
      <c r="L24" s="66">
        <v>5870</v>
      </c>
      <c r="M24" s="66">
        <v>-2663</v>
      </c>
    </row>
    <row r="27" spans="1:13" ht="15" thickBot="1" x14ac:dyDescent="0.4"/>
    <row r="28" spans="1:13" x14ac:dyDescent="0.35">
      <c r="A28" s="67" t="s">
        <v>134</v>
      </c>
      <c r="B28" s="59">
        <v>-3462</v>
      </c>
      <c r="C28" s="59">
        <v>-3864</v>
      </c>
      <c r="D28" s="59">
        <v>-4214</v>
      </c>
      <c r="E28" s="59">
        <v>-4975</v>
      </c>
      <c r="F28" s="59">
        <v>-5390</v>
      </c>
      <c r="G28" s="59">
        <v>-6819</v>
      </c>
      <c r="H28" s="59">
        <v>-9309</v>
      </c>
      <c r="I28" s="59">
        <v>-8015</v>
      </c>
      <c r="J28" s="59">
        <v>-8953</v>
      </c>
      <c r="K28" s="59">
        <v>-10034</v>
      </c>
      <c r="L28" s="59">
        <v>-13101</v>
      </c>
      <c r="M28" s="59">
        <v>-10810</v>
      </c>
    </row>
    <row r="29" spans="1:13" x14ac:dyDescent="0.35">
      <c r="A29" s="60" t="s">
        <v>135</v>
      </c>
      <c r="B29" s="61">
        <v>2</v>
      </c>
      <c r="C29" s="61">
        <v>0</v>
      </c>
      <c r="D29" s="61">
        <v>0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</row>
    <row r="30" spans="1:13" x14ac:dyDescent="0.35">
      <c r="A30" s="60" t="s">
        <v>136</v>
      </c>
      <c r="B30" s="61">
        <v>0</v>
      </c>
      <c r="C30" s="61">
        <v>177</v>
      </c>
      <c r="D30" s="61">
        <v>460</v>
      </c>
      <c r="E30" s="61">
        <v>0</v>
      </c>
      <c r="F30" s="61">
        <v>99</v>
      </c>
      <c r="G30" s="61">
        <v>0</v>
      </c>
      <c r="H30" s="61">
        <v>188</v>
      </c>
      <c r="I30" s="61">
        <v>55</v>
      </c>
      <c r="J30" s="61">
        <v>286</v>
      </c>
      <c r="K30" s="61">
        <v>0</v>
      </c>
      <c r="L30" s="61">
        <v>0</v>
      </c>
      <c r="M30" s="61">
        <v>0</v>
      </c>
    </row>
    <row r="31" spans="1:13" x14ac:dyDescent="0.35">
      <c r="A31" s="60" t="s">
        <v>137</v>
      </c>
      <c r="B31" s="61">
        <v>-3</v>
      </c>
      <c r="C31" s="61">
        <v>0</v>
      </c>
      <c r="D31" s="61">
        <v>-360</v>
      </c>
      <c r="E31" s="61">
        <v>-277</v>
      </c>
      <c r="F31" s="61">
        <v>0</v>
      </c>
      <c r="G31" s="61">
        <v>-99</v>
      </c>
      <c r="H31" s="61">
        <v>-188</v>
      </c>
      <c r="I31" s="61">
        <v>-55</v>
      </c>
      <c r="J31" s="61">
        <v>-208</v>
      </c>
      <c r="K31" s="61">
        <v>-85</v>
      </c>
      <c r="L31" s="61">
        <v>0</v>
      </c>
      <c r="M31" s="61">
        <v>-46</v>
      </c>
    </row>
    <row r="32" spans="1:13" x14ac:dyDescent="0.35">
      <c r="A32" s="60" t="s">
        <v>138</v>
      </c>
      <c r="B32" s="61">
        <v>-18</v>
      </c>
      <c r="C32" s="61">
        <v>-2</v>
      </c>
      <c r="D32" s="61">
        <v>-14</v>
      </c>
      <c r="E32" s="61">
        <v>-6</v>
      </c>
      <c r="F32" s="61">
        <v>-7</v>
      </c>
      <c r="G32" s="61">
        <v>-90</v>
      </c>
      <c r="H32" s="61">
        <v>-92</v>
      </c>
      <c r="I32" s="61">
        <v>-82</v>
      </c>
      <c r="J32" s="61">
        <v>-88</v>
      </c>
      <c r="K32" s="61">
        <v>-110</v>
      </c>
      <c r="L32" s="61">
        <v>-130</v>
      </c>
      <c r="M32" s="61">
        <v>-133</v>
      </c>
    </row>
    <row r="33" spans="1:13" x14ac:dyDescent="0.35">
      <c r="A33" s="60" t="s">
        <v>139</v>
      </c>
      <c r="B33" s="62">
        <v>-2912</v>
      </c>
      <c r="C33" s="62">
        <v>-3354</v>
      </c>
      <c r="D33" s="62">
        <v>-3572</v>
      </c>
      <c r="E33" s="62">
        <v>-3911</v>
      </c>
      <c r="F33" s="62">
        <v>-4554</v>
      </c>
      <c r="G33" s="62">
        <v>-5196</v>
      </c>
      <c r="H33" s="62">
        <v>-8811</v>
      </c>
      <c r="I33" s="62">
        <v>-7526</v>
      </c>
      <c r="J33" s="62">
        <v>-8474</v>
      </c>
      <c r="K33" s="62">
        <v>-9416</v>
      </c>
      <c r="L33" s="62">
        <v>-12473</v>
      </c>
      <c r="M33" s="62">
        <v>-10124</v>
      </c>
    </row>
    <row r="34" spans="1:13" x14ac:dyDescent="0.35">
      <c r="A34" s="60" t="s">
        <v>140</v>
      </c>
      <c r="B34" s="61">
        <v>0</v>
      </c>
      <c r="C34" s="61">
        <v>0</v>
      </c>
      <c r="D34" s="61">
        <v>0</v>
      </c>
      <c r="E34" s="61">
        <v>0</v>
      </c>
      <c r="F34" s="61">
        <v>0</v>
      </c>
      <c r="G34" s="61">
        <v>-373</v>
      </c>
      <c r="H34" s="61">
        <v>-406</v>
      </c>
      <c r="I34" s="61">
        <v>-407</v>
      </c>
      <c r="J34" s="61">
        <v>-467</v>
      </c>
      <c r="K34" s="61">
        <v>-423</v>
      </c>
      <c r="L34" s="61">
        <v>-498</v>
      </c>
      <c r="M34" s="61">
        <v>-507</v>
      </c>
    </row>
    <row r="35" spans="1:13" x14ac:dyDescent="0.35">
      <c r="A35" s="60" t="s">
        <v>141</v>
      </c>
      <c r="B35" s="61">
        <v>-533</v>
      </c>
      <c r="C35" s="61">
        <v>-685</v>
      </c>
      <c r="D35" s="61">
        <v>-728</v>
      </c>
      <c r="E35" s="61">
        <v>-781</v>
      </c>
      <c r="F35" s="61">
        <v>-928</v>
      </c>
      <c r="G35" s="62">
        <v>-1061</v>
      </c>
      <c r="H35" s="61">
        <v>0</v>
      </c>
      <c r="I35" s="61">
        <v>0</v>
      </c>
      <c r="J35" s="61">
        <v>-2</v>
      </c>
      <c r="K35" s="61">
        <v>0</v>
      </c>
      <c r="L35" s="61">
        <v>0</v>
      </c>
      <c r="M35" s="61">
        <v>0</v>
      </c>
    </row>
    <row r="37" spans="1:13" x14ac:dyDescent="0.35">
      <c r="A37" s="92" t="s">
        <v>201</v>
      </c>
      <c r="J37" s="90">
        <f>120280000/10000</f>
        <v>12028</v>
      </c>
      <c r="K37" s="90">
        <f>128790000/10000</f>
        <v>12879</v>
      </c>
      <c r="L37" s="90">
        <f>165370000/10000</f>
        <v>16537</v>
      </c>
      <c r="M37" s="90">
        <f>155490000/10000</f>
        <v>15549</v>
      </c>
    </row>
    <row r="38" spans="1:13" x14ac:dyDescent="0.35">
      <c r="A38" s="92" t="s">
        <v>202</v>
      </c>
      <c r="J38" s="90">
        <f>105370000/10000</f>
        <v>10537</v>
      </c>
      <c r="K38" s="90">
        <f>141970000/10000</f>
        <v>14197</v>
      </c>
      <c r="L38" s="90">
        <f>137340000/10000</f>
        <v>13734</v>
      </c>
      <c r="M38" s="90">
        <f>151960000/10000</f>
        <v>15196</v>
      </c>
    </row>
    <row r="39" spans="1:13" x14ac:dyDescent="0.35">
      <c r="A39" s="92" t="s">
        <v>203</v>
      </c>
      <c r="D39" s="93">
        <v>6186</v>
      </c>
      <c r="E39" s="93">
        <v>7170</v>
      </c>
      <c r="F39" s="93">
        <v>7206</v>
      </c>
      <c r="G39" s="93">
        <v>7535</v>
      </c>
      <c r="H39" s="93">
        <v>8802</v>
      </c>
      <c r="I39" s="93">
        <v>9068</v>
      </c>
      <c r="J39" s="93">
        <v>9574</v>
      </c>
      <c r="K39" s="93">
        <v>10486</v>
      </c>
      <c r="L39" s="93">
        <v>11315</v>
      </c>
      <c r="M39" s="93">
        <v>13325</v>
      </c>
    </row>
    <row r="41" spans="1:13" x14ac:dyDescent="0.35">
      <c r="J41" s="91"/>
      <c r="K41" s="91"/>
      <c r="L41" s="91"/>
      <c r="M41" s="91"/>
    </row>
    <row r="42" spans="1:13" x14ac:dyDescent="0.35">
      <c r="A42" s="91"/>
    </row>
    <row r="43" spans="1:13" x14ac:dyDescent="0.35">
      <c r="A43" s="91"/>
    </row>
    <row r="44" spans="1:13" x14ac:dyDescent="0.35">
      <c r="A44" s="9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workbookViewId="0">
      <selection activeCell="A8" sqref="A8:H8"/>
    </sheetView>
  </sheetViews>
  <sheetFormatPr defaultRowHeight="14.5" x14ac:dyDescent="0.35"/>
  <cols>
    <col min="2" max="2" width="16.453125" customWidth="1"/>
    <col min="3" max="3" width="11.1796875" bestFit="1" customWidth="1"/>
    <col min="4" max="4" width="13" bestFit="1" customWidth="1"/>
    <col min="5" max="5" width="23.453125" customWidth="1"/>
    <col min="6" max="6" width="31.36328125" bestFit="1" customWidth="1"/>
    <col min="7" max="7" width="15.36328125" bestFit="1" customWidth="1"/>
    <col min="8" max="8" width="42.36328125" bestFit="1" customWidth="1"/>
    <col min="9" max="9" width="11.36328125" bestFit="1" customWidth="1"/>
  </cols>
  <sheetData>
    <row r="1" spans="1:11" x14ac:dyDescent="0.35">
      <c r="A1" t="s">
        <v>200</v>
      </c>
      <c r="B1" t="s">
        <v>199</v>
      </c>
      <c r="C1" t="s">
        <v>114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197</v>
      </c>
    </row>
    <row r="2" spans="1:11" x14ac:dyDescent="0.35">
      <c r="A2" s="83">
        <v>4</v>
      </c>
      <c r="B2" t="s">
        <v>181</v>
      </c>
      <c r="C2" s="90">
        <v>730870000</v>
      </c>
      <c r="D2" s="90">
        <v>169980000</v>
      </c>
      <c r="E2" s="90">
        <v>560890000</v>
      </c>
      <c r="F2" s="90">
        <v>225650000</v>
      </c>
      <c r="G2" s="90">
        <v>120280000</v>
      </c>
      <c r="H2" s="90">
        <v>105370000</v>
      </c>
      <c r="I2" s="91">
        <v>2349591.2599999998</v>
      </c>
    </row>
    <row r="3" spans="1:11" x14ac:dyDescent="0.35">
      <c r="A3" s="83">
        <v>3</v>
      </c>
      <c r="B3" t="s">
        <v>180</v>
      </c>
      <c r="C3" s="90">
        <v>784990000</v>
      </c>
      <c r="D3" s="90">
        <v>213240000</v>
      </c>
      <c r="E3" s="90">
        <v>571750000</v>
      </c>
      <c r="F3" s="90">
        <v>270760000</v>
      </c>
      <c r="G3" s="90">
        <v>128790000</v>
      </c>
      <c r="H3" s="90">
        <v>141970000</v>
      </c>
      <c r="I3" s="91">
        <v>2349591.2599999998</v>
      </c>
    </row>
    <row r="4" spans="1:11" x14ac:dyDescent="0.35">
      <c r="A4" s="83">
        <v>2</v>
      </c>
      <c r="B4" t="s">
        <v>179</v>
      </c>
      <c r="C4" s="90">
        <v>798800000</v>
      </c>
      <c r="D4" s="90">
        <v>220510000</v>
      </c>
      <c r="E4" s="90">
        <v>578290000</v>
      </c>
      <c r="F4" s="90">
        <v>302710000</v>
      </c>
      <c r="G4" s="90">
        <v>165370000</v>
      </c>
      <c r="H4" s="90">
        <v>137340000</v>
      </c>
      <c r="I4" s="91">
        <v>2349591.2599999998</v>
      </c>
    </row>
    <row r="5" spans="1:11" x14ac:dyDescent="0.35">
      <c r="A5" s="83">
        <v>1</v>
      </c>
      <c r="B5" t="s">
        <v>178</v>
      </c>
      <c r="C5" s="90">
        <v>797520000</v>
      </c>
      <c r="D5" s="90">
        <v>190210000</v>
      </c>
      <c r="E5" s="90">
        <v>607310000</v>
      </c>
      <c r="F5" s="90">
        <v>307450000</v>
      </c>
      <c r="G5" s="90">
        <v>155490000</v>
      </c>
      <c r="H5" s="90">
        <v>151960000</v>
      </c>
      <c r="I5" s="91">
        <v>2349591.2599999998</v>
      </c>
    </row>
    <row r="7" spans="1:11" x14ac:dyDescent="0.35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4"/>
    </row>
    <row r="8" spans="1:11" x14ac:dyDescent="0.35">
      <c r="A8" s="129"/>
      <c r="B8" s="130"/>
      <c r="C8" s="131"/>
      <c r="D8" s="131"/>
      <c r="E8" s="131"/>
      <c r="F8" s="131"/>
      <c r="G8" s="131"/>
      <c r="H8" s="131"/>
      <c r="I8" s="131"/>
      <c r="J8" s="131"/>
      <c r="K8" s="131"/>
    </row>
    <row r="9" spans="1:11" x14ac:dyDescent="0.35">
      <c r="A9" s="132"/>
      <c r="B9" s="127"/>
      <c r="C9" s="133"/>
      <c r="D9" s="133"/>
      <c r="E9" s="133"/>
      <c r="F9" s="133"/>
      <c r="G9" s="133"/>
      <c r="H9" s="133"/>
      <c r="I9" s="133"/>
      <c r="J9" s="133"/>
      <c r="K9" s="133"/>
    </row>
    <row r="10" spans="1:11" x14ac:dyDescent="0.35">
      <c r="A10" s="129"/>
      <c r="B10" s="130"/>
      <c r="C10" s="131"/>
      <c r="D10" s="124"/>
      <c r="E10" s="124"/>
      <c r="F10" s="124"/>
      <c r="G10" s="124"/>
      <c r="H10" s="124"/>
      <c r="I10" s="124"/>
      <c r="J10" s="124"/>
      <c r="K10" s="124"/>
    </row>
    <row r="15" spans="1:11" x14ac:dyDescent="0.35">
      <c r="G15" t="s">
        <v>187</v>
      </c>
    </row>
    <row r="16" spans="1:11" x14ac:dyDescent="0.35">
      <c r="G16" s="90">
        <v>490070000</v>
      </c>
    </row>
    <row r="17" spans="7:7" x14ac:dyDescent="0.35">
      <c r="G17" s="90">
        <v>496090000</v>
      </c>
    </row>
    <row r="18" spans="7:7" x14ac:dyDescent="0.35">
      <c r="G18" s="90">
        <v>514230000</v>
      </c>
    </row>
    <row r="19" spans="7:7" x14ac:dyDescent="0.35">
      <c r="G19" s="90">
        <v>505220000</v>
      </c>
    </row>
    <row r="21" spans="7:7" x14ac:dyDescent="0.35">
      <c r="G21" t="s">
        <v>188</v>
      </c>
    </row>
    <row r="22" spans="7:7" x14ac:dyDescent="0.35">
      <c r="G22" s="90">
        <v>487380000</v>
      </c>
    </row>
    <row r="23" spans="7:7" x14ac:dyDescent="0.35">
      <c r="G23" s="90">
        <v>494020000</v>
      </c>
    </row>
    <row r="24" spans="7:7" x14ac:dyDescent="0.35">
      <c r="G24" s="90">
        <v>512180000</v>
      </c>
    </row>
    <row r="25" spans="7:7" x14ac:dyDescent="0.35">
      <c r="G25" s="90">
        <v>503040000</v>
      </c>
    </row>
    <row r="26" spans="7:7" x14ac:dyDescent="0.35">
      <c r="G26" t="s">
        <v>189</v>
      </c>
    </row>
    <row r="27" spans="7:7" x14ac:dyDescent="0.35">
      <c r="G27" s="90">
        <v>2690000</v>
      </c>
    </row>
    <row r="28" spans="7:7" x14ac:dyDescent="0.35">
      <c r="G28" s="90">
        <v>2070000</v>
      </c>
    </row>
    <row r="29" spans="7:7" x14ac:dyDescent="0.35">
      <c r="G29" s="90">
        <v>2050000</v>
      </c>
    </row>
    <row r="30" spans="7:7" x14ac:dyDescent="0.35">
      <c r="G30" s="90">
        <v>2180000</v>
      </c>
    </row>
    <row r="31" spans="7:7" x14ac:dyDescent="0.35">
      <c r="G31" t="s">
        <v>190</v>
      </c>
    </row>
    <row r="32" spans="7:7" x14ac:dyDescent="0.35">
      <c r="G32" s="90">
        <v>487380000</v>
      </c>
    </row>
    <row r="33" spans="7:7" x14ac:dyDescent="0.35">
      <c r="G33" s="90">
        <v>494020000</v>
      </c>
    </row>
    <row r="34" spans="7:7" x14ac:dyDescent="0.35">
      <c r="G34" s="90">
        <v>512180000</v>
      </c>
    </row>
    <row r="35" spans="7:7" x14ac:dyDescent="0.35">
      <c r="G35" s="90">
        <v>503040000</v>
      </c>
    </row>
    <row r="36" spans="7:7" x14ac:dyDescent="0.35">
      <c r="G36" t="s">
        <v>191</v>
      </c>
    </row>
    <row r="37" spans="7:7" x14ac:dyDescent="0.35">
      <c r="G37" s="90">
        <v>487380000</v>
      </c>
    </row>
    <row r="38" spans="7:7" x14ac:dyDescent="0.35">
      <c r="G38" s="90">
        <v>494020000</v>
      </c>
    </row>
    <row r="39" spans="7:7" x14ac:dyDescent="0.35">
      <c r="G39" s="90">
        <v>512180000</v>
      </c>
    </row>
    <row r="40" spans="7:7" x14ac:dyDescent="0.35">
      <c r="G40" s="90">
        <v>503040000</v>
      </c>
    </row>
    <row r="41" spans="7:7" x14ac:dyDescent="0.35">
      <c r="G41" t="s">
        <v>192</v>
      </c>
    </row>
    <row r="42" spans="7:7" x14ac:dyDescent="0.35">
      <c r="G42" s="90">
        <v>14780000</v>
      </c>
    </row>
    <row r="43" spans="7:7" x14ac:dyDescent="0.35">
      <c r="G43" s="90">
        <v>16470000</v>
      </c>
    </row>
    <row r="44" spans="7:7" x14ac:dyDescent="0.35">
      <c r="G44" s="90">
        <v>14710000</v>
      </c>
    </row>
    <row r="45" spans="7:7" x14ac:dyDescent="0.35">
      <c r="G45" s="90">
        <v>11210000</v>
      </c>
    </row>
    <row r="46" spans="7:7" x14ac:dyDescent="0.35">
      <c r="G46" t="s">
        <v>193</v>
      </c>
    </row>
    <row r="47" spans="7:7" x14ac:dyDescent="0.35">
      <c r="G47" s="90">
        <v>-5080000</v>
      </c>
    </row>
    <row r="48" spans="7:7" x14ac:dyDescent="0.35">
      <c r="G48" s="90">
        <v>36930000</v>
      </c>
    </row>
    <row r="49" spans="7:7" x14ac:dyDescent="0.35">
      <c r="G49" s="90">
        <v>55050000</v>
      </c>
    </row>
    <row r="50" spans="7:7" x14ac:dyDescent="0.35">
      <c r="G50" s="90">
        <v>45750000</v>
      </c>
    </row>
    <row r="51" spans="7:7" x14ac:dyDescent="0.35">
      <c r="G51" t="s">
        <v>30</v>
      </c>
    </row>
    <row r="52" spans="7:7" x14ac:dyDescent="0.35">
      <c r="G52" s="90">
        <v>34720000</v>
      </c>
    </row>
    <row r="53" spans="7:7" x14ac:dyDescent="0.35">
      <c r="G53" s="90">
        <v>55140000</v>
      </c>
    </row>
    <row r="54" spans="7:7" x14ac:dyDescent="0.35">
      <c r="G54" s="90">
        <v>84450000</v>
      </c>
    </row>
    <row r="55" spans="7:7" x14ac:dyDescent="0.35">
      <c r="G55" s="90">
        <v>49700000</v>
      </c>
    </row>
    <row r="56" spans="7:7" x14ac:dyDescent="0.35">
      <c r="G56" t="s">
        <v>194</v>
      </c>
    </row>
    <row r="57" spans="7:7" x14ac:dyDescent="0.35">
      <c r="G57" s="90">
        <v>487380000</v>
      </c>
    </row>
    <row r="58" spans="7:7" x14ac:dyDescent="0.35">
      <c r="G58" s="90">
        <v>494030000</v>
      </c>
    </row>
    <row r="59" spans="7:7" x14ac:dyDescent="0.35">
      <c r="G59" s="90">
        <v>512310000</v>
      </c>
    </row>
    <row r="60" spans="7:7" x14ac:dyDescent="0.35">
      <c r="G60" s="90">
        <v>504020000</v>
      </c>
    </row>
    <row r="61" spans="7:7" x14ac:dyDescent="0.35">
      <c r="G61" t="s">
        <v>195</v>
      </c>
    </row>
    <row r="62" spans="7:7" x14ac:dyDescent="0.35">
      <c r="G62" s="90">
        <v>-5080000</v>
      </c>
    </row>
    <row r="63" spans="7:7" x14ac:dyDescent="0.35">
      <c r="G63" s="90">
        <v>36930000</v>
      </c>
    </row>
    <row r="64" spans="7:7" x14ac:dyDescent="0.35">
      <c r="G64" s="90">
        <v>55050000</v>
      </c>
    </row>
    <row r="65" spans="7:7" x14ac:dyDescent="0.35">
      <c r="G65" s="90">
        <v>45750000</v>
      </c>
    </row>
    <row r="66" spans="7:7" x14ac:dyDescent="0.35">
      <c r="G66" t="s">
        <v>196</v>
      </c>
    </row>
    <row r="67" spans="7:7" x14ac:dyDescent="0.35">
      <c r="G67" s="90">
        <v>14780000</v>
      </c>
    </row>
    <row r="68" spans="7:7" x14ac:dyDescent="0.35">
      <c r="G68" s="90">
        <v>16480000</v>
      </c>
    </row>
    <row r="69" spans="7:7" x14ac:dyDescent="0.35">
      <c r="G69" s="90">
        <v>14840000</v>
      </c>
    </row>
    <row r="70" spans="7:7" x14ac:dyDescent="0.35">
      <c r="G70" s="90">
        <v>12190000</v>
      </c>
    </row>
    <row r="71" spans="7:7" x14ac:dyDescent="0.35">
      <c r="G71" t="s">
        <v>197</v>
      </c>
    </row>
    <row r="72" spans="7:7" x14ac:dyDescent="0.35">
      <c r="G72" s="91">
        <v>2349591.2599999998</v>
      </c>
    </row>
    <row r="73" spans="7:7" x14ac:dyDescent="0.35">
      <c r="G73" s="91">
        <v>2349591.2599999998</v>
      </c>
    </row>
    <row r="74" spans="7:7" x14ac:dyDescent="0.35">
      <c r="G74" s="91">
        <v>2349591.2599999998</v>
      </c>
    </row>
    <row r="75" spans="7:7" x14ac:dyDescent="0.35">
      <c r="G75" s="91">
        <v>2349591.2599999998</v>
      </c>
    </row>
    <row r="76" spans="7:7" x14ac:dyDescent="0.35">
      <c r="G76" t="s">
        <v>198</v>
      </c>
    </row>
    <row r="77" spans="7:7" x14ac:dyDescent="0.35">
      <c r="G77" s="91">
        <v>2349591.2599999998</v>
      </c>
    </row>
    <row r="78" spans="7:7" x14ac:dyDescent="0.35">
      <c r="G78" s="91">
        <v>2349591.2599999998</v>
      </c>
    </row>
    <row r="79" spans="7:7" x14ac:dyDescent="0.35">
      <c r="G79" s="91">
        <v>2349591.2599999998</v>
      </c>
    </row>
    <row r="80" spans="7:7" x14ac:dyDescent="0.35">
      <c r="G80" s="91">
        <v>2349591.2599999998</v>
      </c>
    </row>
  </sheetData>
  <sortState ref="A2:H5">
    <sortCondition descending="1" ref="A2:A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Profit &amp; Loss</vt:lpstr>
      <vt:lpstr>Quarters</vt:lpstr>
      <vt:lpstr>Balance Sheet</vt:lpstr>
      <vt:lpstr>Cash Flow</vt:lpstr>
      <vt:lpstr>Customization</vt:lpstr>
      <vt:lpstr>Data Sheet</vt:lpstr>
      <vt:lpstr>Historical FS</vt:lpstr>
      <vt:lpstr>Ratio Analysis</vt:lpstr>
      <vt:lpstr>DCF Modelling</vt:lpstr>
      <vt:lpstr>Comp Analysis</vt:lpstr>
      <vt:lpstr>Common Size Statement</vt:lpstr>
      <vt:lpstr>Trend Analysis</vt:lpstr>
      <vt:lpstr>Comparables Data</vt:lpstr>
      <vt:lpstr>Manual Data</vt:lpstr>
      <vt:lpstr>Data Sheet2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</cp:lastModifiedBy>
  <cp:lastPrinted>2012-12-06T18:14:13Z</cp:lastPrinted>
  <dcterms:created xsi:type="dcterms:W3CDTF">2012-08-17T09:55:37Z</dcterms:created>
  <dcterms:modified xsi:type="dcterms:W3CDTF">2026-06-27T09:54:44Z</dcterms:modified>
</cp:coreProperties>
</file>